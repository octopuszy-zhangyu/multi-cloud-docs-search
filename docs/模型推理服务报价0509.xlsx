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ken按量计费" sheetId="1" r:id="rId3"/>
    <sheet name="token量包" sheetId="2" r:id="rId4"/>
    <sheet name="Coding Plan套餐" sheetId="3" r:id="rId5"/>
    <sheet name="批量推理" sheetId="4" r:id="rId6"/>
    <sheet name="TPM保障包" sheetId="5" r:id="rId7"/>
  </sheets>
  <calcPr fullCalcOnLoad="0"/>
</workbook>
</file>

<file path=xl/sharedStrings.xml><?xml version="1.0" encoding="utf-8"?>
<sst xmlns="http://schemas.openxmlformats.org/spreadsheetml/2006/main" count="181" uniqueCount="181">
  <si>
    <t/>
  </si>
  <si>
    <t>在线推理</t>
  </si>
  <si>
    <t>模型名称</t>
  </si>
  <si>
    <t>BCP产品规格type</t>
  </si>
  <si>
    <t>服务类型</t>
  </si>
  <si>
    <t>标准价格（含税）</t>
  </si>
  <si>
    <t>折扣</t>
  </si>
  <si>
    <t>结算价格</t>
  </si>
  <si>
    <t>单位</t>
  </si>
  <si>
    <t>新模型上线日期</t>
  </si>
  <si>
    <t>DeepSeek系列</t>
  </si>
  <si>
    <t>DeepSeek-V4-Flash</t>
  </si>
  <si>
    <t>token_ds_1</t>
  </si>
  <si>
    <t>输入</t>
  </si>
  <si>
    <t>（元/百万tokens）</t>
  </si>
  <si>
    <t>输出</t>
  </si>
  <si>
    <t>DeepSeek-V3.2（旗舰版）</t>
  </si>
  <si>
    <t>token_9</t>
  </si>
  <si>
    <t>输入（缓存命中）</t>
  </si>
  <si>
    <t>DeepSeek-V3.1</t>
  </si>
  <si>
    <t>token_1</t>
  </si>
  <si>
    <t>DeepSeek-R1-0528</t>
  </si>
  <si>
    <t>DeepSeek-R1</t>
  </si>
  <si>
    <t>DeepSeek-V3-0324</t>
  </si>
  <si>
    <t>token_2</t>
  </si>
  <si>
    <t>DeepSeek-V3</t>
  </si>
  <si>
    <t>DeepSeek-R1-Distill-Llama-70B</t>
  </si>
  <si>
    <t>token_6</t>
  </si>
  <si>
    <t>DeepSeek-R1-Distill-Qwen-32B</t>
  </si>
  <si>
    <t>token_7</t>
  </si>
  <si>
    <t>Qwen系列</t>
  </si>
  <si>
    <t>Qwen3.5-35B-A3B
（输入≤128K）</t>
  </si>
  <si>
    <t>token_Qwen_15</t>
  </si>
  <si>
    <t>Qwen3.5-35B-A3B
（128K＜输入≤256K)</t>
  </si>
  <si>
    <t>Qwen3.5-122B-A10B
（输入≤128K）</t>
  </si>
  <si>
    <t>token_Qwen_14</t>
  </si>
  <si>
    <t>Qwen3.5-122B-A10B
（128K＜输入≤256K)</t>
  </si>
  <si>
    <t>Qwen3.5-397B-A17B（正式版）
（输入≤128K）</t>
  </si>
  <si>
    <t>token_Qwen_12</t>
  </si>
  <si>
    <t>Qwen3.5-397B-A17B（正式版）
（128K＜输入≤256K)</t>
  </si>
  <si>
    <t>Qwen3-235B-A22B-Instruct-2507</t>
  </si>
  <si>
    <t>Qwen3-Coder-480B-A35B-Instruct</t>
  </si>
  <si>
    <t>token_qwen_7</t>
  </si>
  <si>
    <t>Qwen3-235B-A22B</t>
  </si>
  <si>
    <t>token_Qwen_4</t>
  </si>
  <si>
    <t>Qwen3-Next-80B-A3B-Instruct</t>
  </si>
  <si>
    <t>token_Qwen_17</t>
  </si>
  <si>
    <t>Qwen3-30B-A3B</t>
  </si>
  <si>
    <t>token_Qwen_5</t>
  </si>
  <si>
    <t>Qwen3-30B-A3B-Instruct-2507</t>
  </si>
  <si>
    <t>-</t>
  </si>
  <si>
    <t>Qwen3-32B</t>
  </si>
  <si>
    <t>Qwen3-14B</t>
  </si>
  <si>
    <t>token_Qwen_2</t>
  </si>
  <si>
    <t>Qwen3-8B</t>
  </si>
  <si>
    <t>token_Qwen_6</t>
  </si>
  <si>
    <t>Qwen3-4B</t>
  </si>
  <si>
    <t>Qwen2-7B-Instruct</t>
  </si>
  <si>
    <t>QwQ-32B</t>
  </si>
  <si>
    <t>Qwen3-VL-235B-A22B-Instruct</t>
  </si>
  <si>
    <t>token_Qwen_18</t>
  </si>
  <si>
    <t>Qwen3-VL-30B-A3B-Instruct</t>
  </si>
  <si>
    <t>token_Qwen_19</t>
  </si>
  <si>
    <t>Qwen2.5-72B-Instruct</t>
  </si>
  <si>
    <t>token_Qwen_1</t>
  </si>
  <si>
    <t>Qwen2.5-VL-72B-Instruct</t>
  </si>
  <si>
    <t>token_Qwen_3</t>
  </si>
  <si>
    <t>Qwen-VL-Chat</t>
  </si>
  <si>
    <t>Qwen-Image</t>
  </si>
  <si>
    <t>Minimax</t>
  </si>
  <si>
    <t>Minimax-M2.5</t>
  </si>
  <si>
    <t>token_minimax_1</t>
  </si>
  <si>
    <t>智谱</t>
  </si>
  <si>
    <t>GLM-5.1
（输入≤32K）</t>
  </si>
  <si>
    <t>token_glm_5</t>
  </si>
  <si>
    <t>GLM-5.1
（32K＜输入≤200K）</t>
  </si>
  <si>
    <t>GLM-5（正式版）
（输入≤32K）</t>
  </si>
  <si>
    <t>token_glm_2</t>
  </si>
  <si>
    <t>GLM-5（正式版）
（32K＜输入≤200K）</t>
  </si>
  <si>
    <t>GLM4.6V
（输入≤32K）</t>
  </si>
  <si>
    <t>token_glm_4</t>
  </si>
  <si>
    <t>GLM4.6V
（32K＜输入≤200K）</t>
  </si>
  <si>
    <t>Kimi系列</t>
  </si>
  <si>
    <t>Kimi-K2.5</t>
  </si>
  <si>
    <t>token_kimi_1</t>
  </si>
  <si>
    <t>Kimi-K2-Instruct</t>
  </si>
  <si>
    <t>Kimi-K2-Thinking</t>
  </si>
  <si>
    <t>向量模型</t>
  </si>
  <si>
    <t>BGE-m3</t>
  </si>
  <si>
    <t>token_Bge_1</t>
  </si>
  <si>
    <t>重排序模型</t>
  </si>
  <si>
    <t>BGE-Reranker-Large</t>
  </si>
  <si>
    <t>BGE-Reranker-V2-m3</t>
  </si>
  <si>
    <t>token_Bge_2</t>
  </si>
  <si>
    <t>Llama</t>
  </si>
  <si>
    <t>Llama3-8B-Instruct</t>
  </si>
  <si>
    <t>百川智能</t>
  </si>
  <si>
    <t>Baichuan-M2-32B</t>
  </si>
  <si>
    <t>Baichuan2-Turbo</t>
  </si>
  <si>
    <t>电信</t>
  </si>
  <si>
    <t>TeleChat-12B</t>
  </si>
  <si>
    <t>Stability AI</t>
  </si>
  <si>
    <t>StableDiffusion-V2.1</t>
  </si>
  <si>
    <t>服务类型
优惠时段：00:00-08:00</t>
  </si>
  <si>
    <t>闲时推理无需单独配置及开通</t>
  </si>
  <si>
    <t>输入（闲时）</t>
  </si>
  <si>
    <t>输出（闲时）</t>
  </si>
  <si>
    <t>GLM-5（正式版）
（32K＜输入）</t>
  </si>
  <si>
    <t>Token 量包</t>
  </si>
  <si>
    <t>量包额度（Tokens）</t>
  </si>
  <si>
    <t>有效期</t>
  </si>
  <si>
    <t>GLM-5（正式版）</t>
  </si>
  <si>
    <t>1500万</t>
  </si>
  <si>
    <t>tokens_glm5_1500w</t>
  </si>
  <si>
    <t>1个月</t>
  </si>
  <si>
    <t>元/个</t>
  </si>
  <si>
    <t>7000万</t>
  </si>
  <si>
    <t>tokens_glm5_7000w</t>
  </si>
  <si>
    <t>1.5亿</t>
  </si>
  <si>
    <t>tokens_glm5_1.5y</t>
  </si>
  <si>
    <t>1000万</t>
  </si>
  <si>
    <t>tokens_dsv3.2_1000w</t>
  </si>
  <si>
    <t>4000万</t>
  </si>
  <si>
    <t>tokens_dsv3.2_4000w</t>
  </si>
  <si>
    <t>8000万</t>
  </si>
  <si>
    <t>tokens_dsv3.2_8000w</t>
  </si>
  <si>
    <t>DeepSeek-R1、
DeepSeek-R1-0528</t>
  </si>
  <si>
    <t>tokens_dsr1_1kw</t>
  </si>
  <si>
    <t>5000万</t>
  </si>
  <si>
    <t>tokens_dsr1_5kw</t>
  </si>
  <si>
    <t>3个月</t>
  </si>
  <si>
    <t>1亿</t>
  </si>
  <si>
    <t>tokens_dsr1_1e</t>
  </si>
  <si>
    <t>6个月</t>
  </si>
  <si>
    <t>5亿</t>
  </si>
  <si>
    <t>tokens_dsr1_5e</t>
  </si>
  <si>
    <t>12个月</t>
  </si>
  <si>
    <t>10亿</t>
  </si>
  <si>
    <t>tokens_dsr1_10e</t>
  </si>
  <si>
    <t>DeepSeek-V3、
DeepSeek-V3-0324</t>
  </si>
  <si>
    <t>tokens_dsv3_1kw</t>
  </si>
  <si>
    <t>tokens_dsv3_5kw</t>
  </si>
  <si>
    <t>tokens_dsv3_1e</t>
  </si>
  <si>
    <t>tokens_dsv3_5e</t>
  </si>
  <si>
    <t>tokens_dsv3_10e</t>
  </si>
  <si>
    <t>Coding Plan（已售罄）</t>
  </si>
  <si>
    <t>产品规格</t>
  </si>
  <si>
    <t>配置信息</t>
  </si>
  <si>
    <t>模型清单</t>
  </si>
  <si>
    <t>Coding Plan Lite</t>
  </si>
  <si>
    <t>glm_code_lite_m</t>
  </si>
  <si>
    <t>元/月</t>
  </si>
  <si>
    <t>每 5 小时最多约80 次prompts
每周最多约400次prompts
每月最多约1,600次prompts</t>
  </si>
  <si>
    <t>GLM-5.1、GLM-5-Turbo、GLM-4.7、GLM-4.6、GLM-4.5、GLM-4.5-Air</t>
  </si>
  <si>
    <t>Coding Plan Pro</t>
  </si>
  <si>
    <t>glm_code_pro_m</t>
  </si>
  <si>
    <t>每 5 小时最多约400 次prompts
每周最多约2,000 次prompts
每月最多约8,000次prompts</t>
  </si>
  <si>
    <t>GLM-5.1、GLM-5、GLM-5-Turbo、GLM-4.7、GLM-4.6、GLM-4.5、GLM-4.5-Air</t>
  </si>
  <si>
    <t>Coding Plan Max</t>
  </si>
  <si>
    <t>glm_code_max_m</t>
  </si>
  <si>
    <t>每 5 小时最多约1,600 次prompts
每周最多约8,000 次prompts
每月最多约32,000次prompts</t>
  </si>
  <si>
    <t>批量推理（仅支持官网开通）</t>
  </si>
  <si>
    <t>token_1_Batch</t>
  </si>
  <si>
    <t>输入（批量推理）</t>
  </si>
  <si>
    <t>输出（批量推理）</t>
  </si>
  <si>
    <t>token_2_Batch</t>
  </si>
  <si>
    <t>token_Bge_1_Batch</t>
  </si>
  <si>
    <t>TPM保障包</t>
  </si>
  <si>
    <t>规格</t>
  </si>
  <si>
    <t>计费周期</t>
  </si>
  <si>
    <t>说明</t>
  </si>
  <si>
    <t>tokens_dsr1_tpm</t>
  </si>
  <si>
    <t>TPM=10000、RPM=600、并发=8</t>
  </si>
  <si>
    <t>按月</t>
  </si>
  <si>
    <t>（元/月）</t>
  </si>
  <si>
    <t>可按月叠加购买</t>
  </si>
  <si>
    <t>tokens_dsv3_tpm</t>
  </si>
  <si>
    <t>DeepSeek-V4-Pro</t>
  </si>
  <si>
    <t>token_ds_2</t>
  </si>
  <si>
    <r>
      <rPr>
        <b val="1"/>
        <i val="0"/>
        <strike val="0"/>
        <color rgb="FF000000"/>
        <sz val="12"/>
        <u val="none"/>
      </rPr>
      <t>在线推理</t>
    </r>
    <r>
      <rPr>
        <b val="1"/>
        <i val="0"/>
        <strike val="0"/>
        <color rgb="FF000000"/>
        <sz val="12"/>
        <u val="none"/>
      </rPr>
      <t xml:space="preserve">
优惠时段：00:00-08:00</t>
    </r>
  </si>
  <si>
    <r>
      <rPr>
        <b val="0"/>
        <i val="0"/>
        <strike val="0"/>
        <color rgb="FF000000"/>
        <sz val="10"/>
        <u val="none"/>
      </rPr>
      <t>闭源模型：Doubao系列、Qwen3-Max、Qwen3-VL-Coder-Plus、Qwen3-VL-Plus价格见</t>
    </r>
    <r>
      <rPr>
        <b val="0"/>
        <i val="0"/>
        <strike val="0"/>
        <color rgb="FF175CEB"/>
        <sz val="10"/>
        <u/>
      </rPr>
      <t>AI网关价格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</si>
</sst>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2"/>
    </font>
    <font>
      <b val="1"/>
    </font>
    <font>
      <b val="1"/>
      <sz val="10"/>
    </font>
    <font>
      <color rgb="FF000000"/>
      <sz val="10"/>
    </font>
    <font>
      <sz val="9"/>
    </font>
    <font>
      <color rgb="FF000000"/>
    </font>
    <font/>
    <font>
      <sz val="10"/>
    </font>
    <font>
      <color rgb="FFD8D8D8"/>
    </font>
    <font>
      <color rgb="FFD8D8D8"/>
      <sz val="10"/>
    </font>
    <font>
      <sz val="9"/>
    </font>
    <font>
      <name val="Microsoft YaHei"/>
    </font>
    <font>
      <name val="Microsoft YaHei"/>
      <sz val="9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6F7F9"/>
        <bgColor auto="1"/>
      </patternFill>
    </fill>
    <fill>
      <patternFill patternType="solid">
        <fgColor rgb="FFF6F7F9"/>
        <bgColor auto="1"/>
      </patternFill>
    </fill>
    <fill>
      <patternFill patternType="none"/>
    </fill>
    <fill/>
    <fill/>
    <fill>
      <patternFill patternType="solid">
        <fgColor rgb="FFF2F2F2"/>
      </patternFill>
    </fill>
    <fill>
      <patternFill patternType="solid">
        <fgColor rgb="FFF2F2F2"/>
      </patternFill>
    </fill>
  </fills>
  <borders count="3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/>
    <border/>
    <border>
      <left style="thin">
        <color rgb="FF000000"/>
      </left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>
    <xf fontId="14" fillId="0" borderId="0" xfId="0" applyNumberFormat="1" applyFont="1" applyFill="1" applyBorder="1" applyAlignment="1">
      <alignment vertical="center"/>
    </xf>
  </cellStyleXfs>
  <cellXfs count="17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 indent="0" justifyLastLine="0" shrinkToFit="0"/>
    </xf>
    <xf fontId="0" fillId="0" borderId="2" xfId="0">
      <alignment vertical="center"/>
    </xf>
    <xf fontId="3" fillId="2" borderId="3" xfId="0">
      <alignment horizontal="center" vertical="center" textRotation="0" wrapText="1" indent="0" justifyLastLine="0" shrinkToFit="0"/>
    </xf>
    <xf fontId="0" fillId="0" borderId="4" xfId="0">
      <alignment vertical="center"/>
    </xf>
    <xf fontId="0" fillId="0" borderId="5" xfId="0">
      <alignment vertical="center"/>
    </xf>
    <xf fontId="4" fillId="3" borderId="6" xfId="0">
      <alignment horizontal="center" vertical="center" textRotation="0" wrapText="1" indent="0" justifyLastLine="0" shrinkToFit="0"/>
    </xf>
    <xf fontId="0" fillId="0" borderId="7" xfId="0">
      <alignment vertical="center"/>
    </xf>
    <xf fontId="4" fillId="4" borderId="8" xfId="0">
      <alignment horizontal="center" vertical="center" textRotation="0" wrapText="1" indent="0" justifyLastLine="0" shrinkToFit="0"/>
    </xf>
    <xf fontId="5" fillId="4" borderId="9" xfId="0">
      <alignment horizontal="center" vertical="center" textRotation="0" wrapText="1" indent="0" justifyLastLine="0" shrinkToFit="0"/>
    </xf>
    <xf fontId="4" fillId="3" borderId="10" xfId="0">
      <alignment horizontal="center" vertical="center" textRotation="0" wrapText="1" indent="0" justifyLastLine="0" shrinkToFit="0"/>
    </xf>
    <xf fontId="4" fillId="3" borderId="11" xfId="0">
      <alignment horizontal="center" vertical="center" textRotation="0" wrapText="1" indent="0" justifyLastLine="0" shrinkToFit="0"/>
    </xf>
    <xf fontId="4" fillId="4" borderId="11" xfId="0">
      <alignment horizontal="center" vertical="center" textRotation="0" wrapText="1" indent="0" justifyLastLine="0" shrinkToFit="0"/>
    </xf>
    <xf fontId="4" fillId="3" borderId="11" xfId="0">
      <alignment horizontal="center" vertical="center" textRotation="0" indent="0" justifyLastLine="0" shrinkToFit="0"/>
    </xf>
    <xf fontId="0" fillId="0" borderId="11" xfId="0">
      <alignment vertical="center" textRotation="0" indent="0" justifyLastLine="0" shrinkToFit="0"/>
    </xf>
    <xf fontId="0" fillId="0" borderId="11" xfId="0">
      <alignment horizontal="center" vertical="center" textRotation="0" indent="0" justifyLastLine="0" shrinkToFit="0"/>
    </xf>
    <xf fontId="0" fillId="0" borderId="12" xfId="0">
      <alignment horizontal="center" vertical="center" textRotation="0" indent="0" justifyLastLine="0" shrinkToFit="0"/>
    </xf>
    <xf fontId="6" fillId="0" borderId="10" xfId="0">
      <alignment horizontal="center" vertical="center" textRotation="0" wrapText="0" indent="0" justifyLastLine="0" shrinkToFit="0"/>
    </xf>
    <xf numFmtId="67" fontId="7" fillId="0" borderId="11" xfId="0">
      <alignment horizontal="center" vertical="center" textRotation="0" wrapText="0" indent="0" justifyLastLine="0" shrinkToFit="0"/>
    </xf>
    <xf fontId="6" fillId="0" borderId="11" xfId="0">
      <alignment horizontal="center" vertical="center" textRotation="0" wrapText="1" indent="0" justifyLastLine="0" shrinkToFit="0"/>
    </xf>
    <xf fontId="8" fillId="0" borderId="13" xfId="0">
      <alignment horizontal="center" vertical="center"/>
    </xf>
    <xf numFmtId="300" fontId="9" fillId="0" borderId="14" xfId="0">
      <alignment horizontal="center" vertical="center" wrapText="1"/>
    </xf>
    <xf fontId="0" fillId="0" borderId="0" xfId="0">
      <alignment vertical="center" wrapText="1"/>
    </xf>
    <xf fontId="0" fillId="0" borderId="9" xfId="0">
      <alignment vertical="center" textRotation="0" indent="0" justifyLastLine="0" shrinkToFit="0"/>
    </xf>
    <xf fontId="0" fillId="0" borderId="8" xfId="0">
      <alignment vertical="center" textRotation="0" indent="0" justifyLastLine="0" shrinkToFit="0"/>
    </xf>
    <xf fontId="0" fillId="0" borderId="8" xfId="0">
      <alignment horizontal="center" vertical="center" textRotation="0" indent="0" justifyLastLine="0" shrinkToFit="0"/>
    </xf>
    <xf fontId="0" fillId="0" borderId="11" xfId="0">
      <alignment vertical="center"/>
    </xf>
    <xf fontId="0" fillId="0" borderId="15" xfId="0">
      <alignment vertical="center"/>
    </xf>
    <xf fontId="0" fillId="0" borderId="16" xfId="0">
      <alignment vertical="center"/>
    </xf>
    <xf fontId="0" fillId="0" borderId="17" xfId="0">
      <alignment vertical="center"/>
    </xf>
    <xf fontId="8" fillId="0" borderId="18" xfId="0">
      <alignment vertical="center" textRotation="0" wrapText="1" indent="0" justifyLastLine="0" shrinkToFit="0"/>
    </xf>
    <xf fontId="8" fillId="0" borderId="19" xfId="0">
      <alignment horizontal="center" vertical="center" textRotation="0" wrapText="1" indent="0" justifyLastLine="0" shrinkToFit="0"/>
    </xf>
    <xf fontId="8" fillId="0" borderId="11" xfId="0">
      <alignment horizontal="center" vertical="center" textRotation="0" indent="0" justifyLastLine="0" shrinkToFit="0"/>
    </xf>
    <xf fontId="6" fillId="0" borderId="1" xfId="0">
      <alignment horizontal="center" vertical="center" textRotation="0" wrapText="0" indent="0" justifyLastLine="0" shrinkToFit="0"/>
    </xf>
    <xf fontId="9" fillId="0" borderId="9" xfId="0">
      <alignment horizontal="center" vertical="center" wrapText="1"/>
    </xf>
    <xf fontId="8" fillId="0" borderId="8" xfId="0">
      <alignment vertical="center" textRotation="0" wrapText="1" indent="0" justifyLastLine="0" shrinkToFit="0"/>
    </xf>
    <xf fontId="8" fillId="0" borderId="3" xfId="0">
      <alignment horizontal="center" vertical="center"/>
    </xf>
    <xf fontId="9" fillId="0" borderId="11" xfId="0">
      <alignment horizontal="center" vertical="center" wrapText="1"/>
    </xf>
    <xf fontId="0" fillId="0" borderId="19" xfId="0">
      <alignment vertical="center" textRotation="0" indent="0" justifyLastLine="0" shrinkToFit="0"/>
    </xf>
    <xf fontId="0" fillId="0" borderId="19" xfId="0">
      <alignment horizontal="center" vertical="center" textRotation="0" indent="0" justifyLastLine="0" shrinkToFit="0"/>
    </xf>
    <xf fontId="10" fillId="0" borderId="1" xfId="0">
      <alignment horizontal="center" vertical="center" textRotation="0" wrapText="0" indent="0" justifyLastLine="0" shrinkToFit="0"/>
    </xf>
    <xf fontId="10" fillId="0" borderId="11" xfId="0">
      <alignment horizontal="center" vertical="center" textRotation="0" wrapText="1" indent="0" justifyLastLine="0" shrinkToFit="0"/>
    </xf>
    <xf fontId="0" fillId="0" borderId="3" xfId="0">
      <alignment horizontal="center" vertical="center"/>
    </xf>
    <xf fontId="0" fillId="0" borderId="11" xfId="0">
      <alignment horizontal="center" vertical="center"/>
    </xf>
    <xf fontId="0" fillId="0" borderId="19" xfId="0">
      <alignment vertical="center" textRotation="0" wrapText="1" indent="0" justifyLastLine="0" shrinkToFit="0"/>
    </xf>
    <xf fontId="0" fillId="0" borderId="19" xfId="0">
      <alignment horizontal="center" vertical="center" textRotation="0" wrapText="1" indent="0" justifyLastLine="0" shrinkToFit="0"/>
    </xf>
    <xf fontId="10" fillId="0" borderId="1" xfId="0">
      <alignment horizontal="center" vertical="center" textRotation="0" wrapText="1" indent="0" justifyLastLine="0" shrinkToFit="0"/>
    </xf>
    <xf fontId="0" fillId="0" borderId="18" xfId="0">
      <alignment vertical="center" textRotation="0" indent="0" justifyLastLine="0" shrinkToFit="0"/>
    </xf>
    <xf fontId="0" fillId="0" borderId="18" xfId="0">
      <alignment vertical="center"/>
    </xf>
    <xf fontId="0" fillId="0" borderId="20" xfId="0">
      <alignment vertical="center"/>
    </xf>
    <xf fontId="0" fillId="0" borderId="19" xfId="0">
      <alignment vertical="center"/>
    </xf>
    <xf fontId="0" fillId="0" borderId="21" xfId="0">
      <alignment horizontal="center" vertical="center" textRotation="0" indent="0" justifyLastLine="0" shrinkToFit="0"/>
    </xf>
    <xf fontId="10" fillId="0" borderId="22" xfId="0">
      <alignment horizontal="center" vertical="center" textRotation="0" wrapText="1" indent="0" justifyLastLine="0" shrinkToFit="0"/>
    </xf>
    <xf numFmtId="67" fontId="7" fillId="0" borderId="21" xfId="0">
      <alignment horizontal="center" vertical="center" textRotation="0" wrapText="0" indent="0" justifyLastLine="0" shrinkToFit="0"/>
    </xf>
    <xf fontId="10" fillId="0" borderId="21" xfId="0">
      <alignment horizontal="center" vertical="center" textRotation="0" wrapText="1" indent="0" justifyLastLine="0" shrinkToFit="0"/>
    </xf>
    <xf fontId="0" fillId="0" borderId="23" xfId="0">
      <alignment horizontal="center" vertical="center"/>
    </xf>
    <xf fontId="0" fillId="0" borderId="21" xfId="0">
      <alignment vertical="center" textRotation="0" indent="0" justifyLastLine="0" shrinkToFit="0"/>
    </xf>
    <xf fontId="6" fillId="0" borderId="22" xfId="0">
      <alignment horizontal="center" vertical="center" textRotation="0" wrapText="1" indent="0" justifyLastLine="0" shrinkToFit="0"/>
    </xf>
    <xf fontId="9" fillId="0" borderId="23" xfId="0">
      <alignment horizontal="center" vertical="center"/>
    </xf>
    <xf numFmtId="300" fontId="9" fillId="0" borderId="11" xfId="0">
      <alignment horizontal="center" vertical="center"/>
    </xf>
    <xf fontId="0" fillId="0" borderId="24" xfId="0">
      <alignment vertical="center"/>
    </xf>
    <xf fontId="8" fillId="0" borderId="1" xfId="0">
      <alignment horizontal="center" vertical="center"/>
    </xf>
    <xf fontId="0" fillId="0" borderId="12" xfId="0">
      <alignment vertical="center" textRotation="0" indent="0" justifyLastLine="0" shrinkToFit="0"/>
    </xf>
    <xf fontId="0" fillId="0" borderId="9" xfId="0">
      <alignment horizontal="center" vertical="center" textRotation="0" indent="0" justifyLastLine="0" shrinkToFit="0"/>
    </xf>
    <xf fontId="10" fillId="0" borderId="9" xfId="0">
      <alignment horizontal="center" vertical="center" textRotation="0" wrapText="1" indent="0" justifyLastLine="0" shrinkToFit="0"/>
    </xf>
    <xf numFmtId="67" fontId="7" fillId="0" borderId="9" xfId="0">
      <alignment horizontal="center" vertical="center" textRotation="0" wrapText="0" indent="0" justifyLastLine="0" shrinkToFit="0"/>
    </xf>
    <xf fontId="0" fillId="0" borderId="10" xfId="0">
      <alignment horizontal="center" vertical="center"/>
    </xf>
    <xf fontId="0" fillId="0" borderId="1" xfId="0">
      <alignment horizontal="center" vertical="center"/>
    </xf>
    <xf fontId="0" fillId="0" borderId="14" xfId="0">
      <alignment vertical="center" textRotation="0" indent="0" justifyLastLine="0" shrinkToFit="0"/>
    </xf>
    <xf numFmtId="300" fontId="0" fillId="0" borderId="21" xfId="0">
      <alignment horizontal="center" vertical="center"/>
    </xf>
    <xf fontId="0" fillId="0" borderId="9" xfId="0">
      <alignment vertical="center"/>
    </xf>
    <xf fontId="11" fillId="0" borderId="18" xfId="0">
      <alignment vertical="center" textRotation="0" indent="0" justifyLastLine="0" shrinkToFit="0"/>
    </xf>
    <xf numFmtId="0" fontId="11" fillId="0" borderId="19" xfId="0">
      <alignment horizontal="center" vertical="center" textRotation="0" indent="0" justifyLastLine="0" shrinkToFit="0"/>
    </xf>
    <xf fontId="11" fillId="0" borderId="11" xfId="0">
      <alignment horizontal="center" vertical="center" textRotation="0" indent="0" justifyLastLine="0" shrinkToFit="0"/>
    </xf>
    <xf fontId="12" fillId="0" borderId="11" xfId="0">
      <alignment horizontal="center" vertical="center" textRotation="0" wrapText="1" indent="0" justifyLastLine="0" shrinkToFit="0"/>
    </xf>
    <xf fontId="11" fillId="0" borderId="1" xfId="0">
      <alignment horizontal="center" vertical="center" textRotation="0" indent="0" justifyLastLine="0" shrinkToFit="0"/>
    </xf>
    <xf fontId="12" fillId="0" borderId="1" xfId="0">
      <alignment horizontal="center" vertical="center" textRotation="0" wrapText="1" indent="0" justifyLastLine="0" shrinkToFit="0"/>
    </xf>
    <xf fontId="11" fillId="0" borderId="18" xfId="0">
      <alignment horizontal="center" vertical="center" textRotation="0" indent="0" justifyLastLine="0" shrinkToFit="0"/>
    </xf>
    <xf fontId="11" fillId="0" borderId="11" xfId="0">
      <alignment horizontal="center" vertical="center"/>
    </xf>
    <xf fontId="9" fillId="0" borderId="1" xfId="0">
      <alignment horizontal="center" vertical="center"/>
    </xf>
    <xf fontId="0" fillId="0" borderId="18" xfId="0">
      <alignment vertical="center" textRotation="0" wrapText="1" indent="0" justifyLastLine="0" shrinkToFit="0"/>
    </xf>
    <xf fontId="8" fillId="0" borderId="19" xfId="0">
      <alignment vertical="center" textRotation="0" wrapText="1" indent="0" justifyLastLine="0" shrinkToFit="0"/>
    </xf>
    <xf numFmtId="67" fontId="7" fillId="0" borderId="11" xfId="0">
      <alignment horizontal="center" vertical="center" textRotation="0" wrapText="0" justifyLastLine="0" shrinkToFit="0"/>
    </xf>
    <xf numFmtId="300" fontId="9" fillId="0" borderId="11" xfId="0">
      <alignment horizontal="center" vertical="center" wrapText="1"/>
    </xf>
    <xf fontId="0" fillId="0" borderId="25" xfId="0">
      <alignment vertical="center"/>
    </xf>
    <xf fontId="8" fillId="0" borderId="11" xfId="0">
      <alignment vertical="center" textRotation="0" wrapText="1" indent="0" justifyLastLine="0" shrinkToFit="0"/>
    </xf>
    <xf fontId="8" fillId="0" borderId="21" xfId="0">
      <alignment horizontal="center" vertical="center" textRotation="0" wrapText="1" indent="0" justifyLastLine="0" shrinkToFit="0"/>
    </xf>
    <xf fontId="9" fillId="0" borderId="11" xfId="0">
      <alignment vertical="center"/>
    </xf>
    <xf fontId="8" fillId="0" borderId="11" xfId="0">
      <alignment vertical="center" textRotation="0" wrapText="1" justifyLastLine="0" shrinkToFit="0"/>
    </xf>
    <xf fontId="8" fillId="0" borderId="21" xfId="0">
      <alignment horizontal="center" vertical="center" textRotation="0" wrapText="1" justifyLastLine="0" shrinkToFit="0"/>
    </xf>
    <xf fontId="8" fillId="0" borderId="11" xfId="0">
      <alignment horizontal="center" vertical="center" textRotation="0" justifyLastLine="0" shrinkToFit="0"/>
    </xf>
    <xf fontId="0" fillId="0" borderId="21" xfId="0">
      <alignment horizontal="center" vertical="center" textRotation="0" wrapText="1" indent="0" justifyLastLine="0" shrinkToFit="0"/>
    </xf>
    <xf fontId="0" fillId="0" borderId="22" xfId="0">
      <alignment horizontal="center" vertical="center"/>
    </xf>
    <xf fontId="0" fillId="0" borderId="11" xfId="0">
      <alignment horizontal="center" vertical="center" textRotation="0" wrapText="1" indent="0" justifyLastLine="0" shrinkToFit="0"/>
    </xf>
    <xf fontId="0" fillId="0" borderId="21" xfId="0">
      <alignment vertical="center"/>
    </xf>
    <xf fontId="11" fillId="0" borderId="21" xfId="0">
      <alignment vertical="center"/>
    </xf>
    <xf fontId="11" fillId="0" borderId="21" xfId="0">
      <alignment vertical="center" textRotation="0" indent="0" justifyLastLine="0" shrinkToFit="0"/>
    </xf>
    <xf fontId="11" fillId="0" borderId="21" xfId="0">
      <alignment horizontal="center" vertical="center" textRotation="0" indent="0" justifyLastLine="0" shrinkToFit="0"/>
    </xf>
    <xf fontId="11" fillId="0" borderId="11" xfId="0">
      <alignment vertical="center"/>
    </xf>
    <xf fontId="11" fillId="0" borderId="11" xfId="0">
      <alignment vertical="center" textRotation="0" indent="0" justifyLastLine="0" shrinkToFit="0"/>
    </xf>
    <xf numFmtId="0" fontId="11" fillId="0" borderId="21" xfId="0">
      <alignment horizontal="center" vertical="center" textRotation="0" indent="0" justifyLastLine="0" shrinkToFit="0"/>
    </xf>
    <xf fontId="11" fillId="0" borderId="22" xfId="0">
      <alignment horizontal="center" vertical="center" textRotation="0" indent="0" justifyLastLine="0" shrinkToFit="0"/>
    </xf>
    <xf numFmtId="0" fontId="11" fillId="0" borderId="11" xfId="0">
      <alignment horizontal="center" vertical="center" textRotation="0" indent="0" justifyLastLine="0" shrinkToFit="0"/>
    </xf>
    <xf fontId="0" fillId="0" borderId="26" xfId="0">
      <alignment vertical="center" textRotation="0" indent="0" justifyLastLine="0" shrinkToFit="0"/>
    </xf>
    <xf fontId="0" fillId="0" borderId="6" xfId="0">
      <alignment vertical="center" textRotation="0" indent="0" justifyLastLine="0" shrinkToFit="0"/>
    </xf>
    <xf fontId="0" fillId="0" borderId="6" xfId="0">
      <alignment horizontal="center" vertical="center" textRotation="0" indent="0" justifyLastLine="0" shrinkToFit="0"/>
    </xf>
    <xf fontId="0" fillId="0" borderId="6" xfId="0">
      <alignment horizontal="center" vertical="center"/>
    </xf>
    <xf fontId="13" fillId="0" borderId="6" xfId="0">
      <alignment horizontal="center" vertical="center" wrapText="0"/>
    </xf>
    <xf fontId="14" fillId="0" borderId="6" xfId="0">
      <alignment vertical="center"/>
    </xf>
    <xf fontId="0" fillId="0" borderId="27" xfId="0">
      <alignment vertical="center" textRotation="0" indent="0" justifyLastLine="0" shrinkToFit="0"/>
    </xf>
    <xf fontId="14" fillId="0" borderId="0" xfId="0">
      <alignment vertical="center"/>
    </xf>
    <xf fontId="9" fillId="2" borderId="11" xfId="0">
      <alignment horizontal="center" vertical="center" textRotation="0" wrapText="1" indent="0" justifyLastLine="0" shrinkToFit="0"/>
    </xf>
    <xf fontId="7" fillId="2" borderId="11" xfId="0">
      <alignment horizontal="center" vertical="center" textRotation="0" wrapText="0" indent="0" justifyLastLine="0" shrinkToFit="0"/>
    </xf>
    <xf fontId="0" fillId="0" borderId="8" xfId="0">
      <alignment vertical="center"/>
    </xf>
    <xf fontId="5" fillId="4" borderId="14" xfId="0">
      <alignment horizontal="center" vertical="center" textRotation="0" wrapText="1" indent="0" justifyLastLine="0" shrinkToFit="0"/>
    </xf>
    <xf fontId="4" fillId="3" borderId="28" xfId="0">
      <alignment horizontal="center" vertical="center" textRotation="0" wrapText="1" indent="0" justifyLastLine="0" shrinkToFit="0"/>
    </xf>
    <xf fontId="4" fillId="4" borderId="9" xfId="0">
      <alignment horizontal="center" vertical="center" textRotation="0" wrapText="1" indent="0" justifyLastLine="0" shrinkToFit="0"/>
    </xf>
    <xf fontId="4" fillId="3" borderId="8" xfId="0">
      <alignment horizontal="center" vertical="center" textRotation="0" indent="0" justifyLastLine="0" shrinkToFit="0"/>
    </xf>
    <xf fontId="10" fillId="0" borderId="22" xfId="0">
      <alignment horizontal="center" vertical="center" textRotation="0" wrapText="0" indent="0" justifyLastLine="0" shrinkToFit="0"/>
    </xf>
    <xf fontId="0" fillId="0" borderId="19" xfId="0">
      <alignment horizontal="center" vertical="center"/>
    </xf>
    <xf fontId="0" fillId="0" borderId="1" xfId="0">
      <alignment vertical="center"/>
    </xf>
    <xf fontId="0" fillId="0" borderId="29" xfId="0">
      <alignment vertical="center"/>
    </xf>
    <xf fontId="10" fillId="0" borderId="11" xfId="0">
      <alignment horizontal="center" vertical="center" textRotation="0" wrapText="0" indent="0" justifyLastLine="0" shrinkToFit="0"/>
    </xf>
    <xf fontId="0" fillId="0" borderId="1" xfId="0">
      <alignment vertical="center" textRotation="0" indent="0" justifyLastLine="0" shrinkToFit="0"/>
    </xf>
    <xf fontId="0" fillId="0" borderId="11" xfId="0">
      <alignment horizontal="center" vertical="center" textRotation="0" justifyLastLine="0" shrinkToFit="0"/>
    </xf>
    <xf fontId="10" fillId="0" borderId="11" xfId="0">
      <alignment horizontal="center" vertical="center" textRotation="0" wrapText="0" justifyLastLine="0" shrinkToFit="0"/>
    </xf>
    <xf fontId="0" fillId="0" borderId="1" xfId="0">
      <alignment vertical="center" textRotation="0" wrapText="1" indent="0" justifyLastLine="0" shrinkToFit="0"/>
    </xf>
    <xf fontId="0" fillId="0" borderId="14" xfId="0">
      <alignment vertical="center"/>
    </xf>
    <xf fontId="0" fillId="0" borderId="21" xfId="0">
      <alignment horizontal="center" vertical="center"/>
    </xf>
    <xf fontId="0" fillId="0" borderId="1" xfId="0">
      <alignment horizontal="center" vertical="center" textRotation="0" indent="0" justifyLastLine="0" shrinkToFit="0"/>
    </xf>
    <xf fontId="0" fillId="0" borderId="18" xfId="0">
      <alignment horizontal="center" vertical="center"/>
    </xf>
    <xf fontId="10" fillId="0" borderId="12" xfId="0">
      <alignment horizontal="center" vertical="center" textRotation="0" wrapText="1" indent="0" justifyLastLine="0" shrinkToFit="0"/>
    </xf>
    <xf fontId="0" fillId="0" borderId="9" xfId="0">
      <alignment horizontal="center" vertical="center"/>
    </xf>
    <xf fontId="10" fillId="0" borderId="18" xfId="0">
      <alignment horizontal="center" vertical="center" textRotation="0" wrapText="1" indent="0" justifyLastLine="0" shrinkToFit="0"/>
    </xf>
    <xf fontId="15" fillId="0" borderId="0" xfId="0">
      <alignment vertical="center" wrapText="0"/>
    </xf>
    <xf fontId="0" fillId="0" borderId="1" xfId="0">
      <alignment vertical="center" wrapText="1"/>
    </xf>
    <xf fontId="0" fillId="0" borderId="3" xfId="0">
      <alignment vertical="center" wrapText="1"/>
    </xf>
    <xf fontId="0" fillId="0" borderId="30" xfId="0">
      <alignment vertical="center"/>
    </xf>
    <xf fontId="14" fillId="0" borderId="0" xfId="0">
      <alignment horizontal="center" vertical="center"/>
    </xf>
    <xf fontId="0" fillId="0" borderId="26" xfId="0">
      <alignment vertical="center"/>
    </xf>
    <xf fontId="3" fillId="5" borderId="11" xfId="0">
      <alignment horizontal="center" vertical="center" textRotation="0" wrapText="1" indent="0" justifyLastLine="0" shrinkToFit="0"/>
    </xf>
    <xf fontId="9" fillId="6" borderId="11" xfId="0">
      <alignment vertical="center"/>
    </xf>
    <xf fontId="7" fillId="5" borderId="11" xfId="0">
      <alignment horizontal="center" vertical="center" textRotation="0" wrapText="0" indent="0" justifyLastLine="0" shrinkToFit="0"/>
    </xf>
    <xf fontId="4" fillId="3" borderId="9" xfId="0">
      <alignment horizontal="center" vertical="center" textRotation="0" wrapText="1" indent="0" justifyLastLine="0" shrinkToFit="0"/>
    </xf>
    <xf fontId="4" fillId="3" borderId="9" xfId="0">
      <alignment horizontal="center" vertical="center" textRotation="0" indent="0" justifyLastLine="0" shrinkToFit="0"/>
    </xf>
    <xf fontId="4" fillId="3" borderId="10" xfId="0">
      <alignment horizontal="center" vertical="center" textRotation="0" indent="0" justifyLastLine="0" shrinkToFit="0"/>
    </xf>
    <xf fontId="10" fillId="0" borderId="21" xfId="0">
      <alignment vertical="center" textRotation="0" wrapText="1" indent="0" justifyLastLine="0" shrinkToFit="0"/>
    </xf>
    <xf fontId="10" fillId="0" borderId="11" xfId="0">
      <alignment vertical="center" textRotation="0" wrapText="1" indent="0" justifyLastLine="0" shrinkToFit="0"/>
    </xf>
    <xf numFmtId="67" fontId="13" fillId="0" borderId="11" xfId="0">
      <alignment horizontal="center" vertical="center" textRotation="0" wrapText="0" indent="0" justifyLastLine="0" shrinkToFit="0"/>
    </xf>
    <xf fontId="0" fillId="0" borderId="11" xfId="0">
      <alignment vertical="center"/>
    </xf>
    <xf fontId="0" fillId="0" borderId="31" xfId="0">
      <alignment horizontal="center" vertical="center" textRotation="0" indent="0" justifyLastLine="0" shrinkToFit="0"/>
    </xf>
    <xf fontId="9" fillId="7" borderId="11" xfId="0">
      <alignment vertical="center"/>
    </xf>
    <xf fontId="4" fillId="8" borderId="21" xfId="0">
      <alignment horizontal="center" vertical="center"/>
    </xf>
    <xf fontId="4" fillId="8" borderId="21" xfId="0">
      <alignment horizontal="center" vertical="center" textRotation="0" indent="0" justifyLastLine="0" shrinkToFit="0"/>
    </xf>
    <xf fontId="4" fillId="9" borderId="21" xfId="0">
      <alignment horizontal="center" vertical="center" textRotation="0" indent="0" justifyLastLine="0" shrinkToFit="0"/>
    </xf>
    <xf numFmtId="67" fontId="13" fillId="0" borderId="11" xfId="0">
      <alignment horizontal="center" vertical="center" wrapText="0"/>
    </xf>
    <xf fontId="0" fillId="0" borderId="11" xfId="0">
      <alignment horizontal="center" vertical="center" wrapText="1"/>
    </xf>
    <xf fontId="3" fillId="2" borderId="11" xfId="0">
      <alignment horizontal="center" vertical="center" textRotation="0" wrapText="1" indent="0" justifyLastLine="0" shrinkToFit="0"/>
    </xf>
    <xf fontId="4" fillId="3" borderId="0" xfId="0">
      <alignment horizontal="center" vertical="center" textRotation="0" wrapText="1" indent="0" justifyLastLine="0" shrinkToFit="0"/>
    </xf>
    <xf fontId="0" fillId="0" borderId="8" xfId="0">
      <alignment vertical="center"/>
    </xf>
    <xf fontId="4" fillId="4" borderId="32" xfId="0">
      <alignment horizontal="center" vertical="center" textRotation="0" indent="0" justifyLastLine="0" shrinkToFit="0"/>
    </xf>
    <xf fontId="5" fillId="3" borderId="14" xfId="0">
      <alignment horizontal="center" vertical="center" textRotation="0" wrapText="1" indent="0" justifyLastLine="0" shrinkToFit="0"/>
    </xf>
    <xf fontId="0" fillId="0" borderId="14" xfId="0">
      <alignment vertical="center"/>
    </xf>
    <xf fontId="0" fillId="0" borderId="9" xfId="0">
      <alignment vertical="center"/>
    </xf>
    <xf fontId="0" fillId="0" borderId="21" xfId="0">
      <alignment vertical="center" textRotation="0" wrapText="1" indent="0" justifyLastLine="0" shrinkToFit="0"/>
    </xf>
    <xf fontId="0" fillId="0" borderId="1" xfId="0">
      <alignment horizontal="center" vertical="center" textRotation="0" wrapText="1" indent="0" justifyLastLine="0" shrinkToFit="0"/>
    </xf>
    <xf fontId="3" fillId="5" borderId="1" xfId="0">
      <alignment horizontal="center" vertical="center" textRotation="0" wrapText="1" indent="0" justifyLastLine="0" shrinkToFit="0"/>
    </xf>
    <xf fontId="4" fillId="8" borderId="11" xfId="0">
      <alignment horizontal="center" vertical="center" textRotation="0" wrapText="1" justifyLastLine="0" shrinkToFit="0"/>
    </xf>
    <xf fontId="4" fillId="8" borderId="11" xfId="0">
      <alignment horizontal="center" vertical="center" textRotation="0" justifyLastLine="0" shrinkToFit="0"/>
    </xf>
    <xf fontId="10" fillId="0" borderId="11" xfId="0">
      <alignment vertical="center" textRotation="0" wrapText="1" justifyLastLine="0" shrinkToFit="0"/>
    </xf>
    <xf fontId="10" fillId="0" borderId="11" xfId="0">
      <alignment horizontal="center" vertical="center" textRotation="0" wrapText="1" justifyLastLine="0" shrinkToFit="0"/>
    </xf>
    <xf fontId="0" fillId="0" borderId="11" xfId="0">
      <alignment horizontal="center" vertical="center" textRotation="0" wrapText="1" justifyLastLine="0" shrinkToFit="0"/>
    </xf>
    <xf numFmtId="67" fontId="13" fillId="0" borderId="11" xfId="0">
      <alignment horizontal="center" vertical="center" textRotation="0" wrapText="0" justifyLastLine="0" shrinkToFit="0"/>
    </xf>
    <xf fontId="0" fillId="0" borderId="33" xfId="0">
      <alignment vertical="center" textRotation="0" indent="0" justifyLastLine="0" shrinkToFit="0"/>
    </xf>
    <xf numFmtId="300" fontId="9" fillId="0" borderId="21" xfId="0">
      <alignment horizontal="center" vertical="center" wrapText="1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docs.qq.com/sheet/DWmpSSGhUZVVDeW1p?tab=5rtt2z&amp;nlc=1&amp;u=2132a158689e4c998afe20b593904ee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token按量计费">
    <tabColor/>
  </sheetPr>
  <dimension ref="G242"/>
  <sheetViews>
    <sheetView showGridLines="1" rightToLeft="0" workbookViewId="0"/>
  </sheetViews>
  <sheetFormatPr baseColWidth="13" defaultRowHeight="18" customHeight="1"/>
  <cols>
    <col min="1" max="1" width="14.7031" customWidth="1"/>
    <col min="2" max="2" width="37.7734" customWidth="1"/>
    <col min="3" max="3" width="25.3633" style="178" customWidth="1"/>
    <col min="4" max="4" width="22.6641" customWidth="1"/>
    <col min="5" max="5" width="20.1016" customWidth="1"/>
    <col min="6" max="6" width="15.6523" style="29" customWidth="1"/>
    <col min="7" max="7" width="18.6211" style="29" customWidth="1"/>
    <col min="8" max="8" width="16.1914" customWidth="1"/>
    <col min="9" max="9" width="21.582" style="178" customWidth="1"/>
    <col min="10" max="10" width="21.9922" customWidth="1"/>
  </cols>
  <sheetData>
    <row r="1" spans="1:9" ht="37.5" customHeight="1">
      <c r="A1" s="4" t="s">
        <v>1</v>
      </c>
      <c r="B1" s="5" t="s"/>
      <c r="C1" s="6" t="s"/>
      <c r="D1" s="5" t="s"/>
      <c r="E1" s="5" t="s"/>
      <c r="F1" s="5" t="s"/>
      <c r="G1" s="5" t="s"/>
      <c r="H1" s="7" t="s"/>
      <c r="I1" s="8" t="s"/>
    </row>
    <row r="2" spans="1:9" ht="42" customHeight="1">
      <c r="A2" s="9" t="s">
        <v>2</v>
      </c>
      <c r="B2" s="10" t="s"/>
      <c r="C2" s="11" t="s">
        <v>3</v>
      </c>
      <c r="D2" s="12" t="s">
        <v>4</v>
      </c>
      <c r="E2" s="13" t="s">
        <v>5</v>
      </c>
      <c r="F2" s="14" t="s">
        <v>6</v>
      </c>
      <c r="G2" s="15" t="s">
        <v>7</v>
      </c>
      <c r="H2" s="16" t="s">
        <v>8</v>
      </c>
      <c r="I2" s="16" t="s">
        <v>9</v>
      </c>
    </row>
    <row r="3" spans="1:10" ht="20.25" customHeight="1">
      <c r="A3" s="59" t="s">
        <v>10</v>
      </c>
      <c r="B3" s="59" t="s">
        <v>177</v>
      </c>
      <c r="C3" s="54" t="s">
        <v>178</v>
      </c>
      <c r="D3" s="18" t="s">
        <v>13</v>
      </c>
      <c r="E3" s="20">
        <v>12</v>
      </c>
      <c r="F3" s="21">
        <v>0.9</v>
      </c>
      <c r="G3" s="22">
        <f>=E3*F3</f>
        <v>10.8</v>
      </c>
      <c r="H3" s="23" t="s">
        <v>14</v>
      </c>
      <c r="I3" s="177">
        <v>46150</v>
      </c>
      <c r="J3" s="25" t="s"/>
    </row>
    <row r="4" spans="1:10" ht="20.25" customHeight="1">
      <c r="A4" s="63" t="s"/>
      <c r="B4" s="32" t="s"/>
      <c r="C4" s="32" t="s"/>
      <c r="D4" s="18" t="s">
        <v>15</v>
      </c>
      <c r="E4" s="20">
        <v>24</v>
      </c>
      <c r="F4" s="21">
        <v>0.9</v>
      </c>
      <c r="G4" s="22">
        <f>=E4*F4</f>
        <v>21.6</v>
      </c>
      <c r="H4" s="23" t="s">
        <v>14</v>
      </c>
      <c r="I4" s="32" t="s"/>
      <c r="J4" s="25" t="s"/>
    </row>
    <row r="5" spans="1:10" ht="20.25" customHeight="1">
      <c r="A5" s="63" t="s"/>
      <c r="B5" s="27" t="s">
        <v>11</v>
      </c>
      <c r="C5" s="28" t="s">
        <v>12</v>
      </c>
      <c r="D5" s="18" t="s">
        <v>13</v>
      </c>
      <c r="E5" s="20">
        <v>1</v>
      </c>
      <c r="F5" s="21">
        <v>0.9</v>
      </c>
      <c r="G5" s="22">
        <f>=E5*F5</f>
        <v>0.9</v>
      </c>
      <c r="H5" s="23" t="s">
        <v>14</v>
      </c>
      <c r="I5" s="86">
        <v>46137</v>
      </c>
      <c r="J5" s="25" t="s"/>
    </row>
    <row r="6" spans="1:9" ht="20.25" customHeight="1">
      <c r="A6" s="63" t="s"/>
      <c r="B6" s="30" t="s"/>
      <c r="C6" s="31" t="s"/>
      <c r="D6" s="18" t="s">
        <v>15</v>
      </c>
      <c r="E6" s="20">
        <v>2</v>
      </c>
      <c r="F6" s="21">
        <v>0.9</v>
      </c>
      <c r="G6" s="22">
        <f>=E6*F6</f>
        <v>1.8</v>
      </c>
      <c r="H6" s="23" t="s">
        <v>14</v>
      </c>
      <c r="I6" s="29" t="s"/>
    </row>
    <row r="7" spans="1:9" ht="20.25" customHeight="1">
      <c r="A7" s="63" t="s"/>
      <c r="B7" s="33" t="s">
        <v>16</v>
      </c>
      <c r="C7" s="34" t="s">
        <v>17</v>
      </c>
      <c r="D7" s="35" t="s">
        <v>13</v>
      </c>
      <c r="E7" s="36">
        <v>2</v>
      </c>
      <c r="F7" s="21">
        <v>0.9</v>
      </c>
      <c r="G7" s="22">
        <f>=E7*F7</f>
        <v>1.8</v>
      </c>
      <c r="H7" s="23" t="s">
        <v>14</v>
      </c>
      <c r="I7" s="37" t="s"/>
    </row>
    <row r="8" spans="1:9" ht="22.5" customHeight="1">
      <c r="A8" s="63" t="s"/>
      <c r="B8" s="38" t="s"/>
      <c r="C8" s="30" t="s"/>
      <c r="D8" s="18" t="s">
        <v>18</v>
      </c>
      <c r="E8" s="36">
        <v>0.2</v>
      </c>
      <c r="F8" s="21">
        <v>0.9</v>
      </c>
      <c r="G8" s="22">
        <f>=E8*F8</f>
        <v>0.18</v>
      </c>
      <c r="H8" s="39" t="s">
        <v>14</v>
      </c>
      <c r="I8" s="40" t="s"/>
    </row>
    <row r="9" spans="1:9" ht="17.25" customHeight="1">
      <c r="A9" s="63" t="s"/>
      <c r="B9" s="31" t="s"/>
      <c r="C9" s="31" t="s"/>
      <c r="D9" s="35" t="s">
        <v>15</v>
      </c>
      <c r="E9" s="36">
        <v>3</v>
      </c>
      <c r="F9" s="21">
        <v>0.9</v>
      </c>
      <c r="G9" s="22">
        <f>=E9*F9</f>
        <v>2.7</v>
      </c>
      <c r="H9" s="39" t="s">
        <v>14</v>
      </c>
      <c r="I9" s="40" t="s"/>
    </row>
    <row r="10" spans="1:9">
      <c r="A10" s="63" t="s"/>
      <c r="B10" s="41" t="s">
        <v>19</v>
      </c>
      <c r="C10" s="42" t="s">
        <v>20</v>
      </c>
      <c r="D10" s="18" t="s">
        <v>13</v>
      </c>
      <c r="E10" s="43">
        <v>4</v>
      </c>
      <c r="F10" s="21">
        <v>0.25</v>
      </c>
      <c r="G10" s="44">
        <f>=E10*F10</f>
        <v>1</v>
      </c>
      <c r="H10" s="45" t="s">
        <v>14</v>
      </c>
      <c r="I10" s="46" t="s"/>
    </row>
    <row r="11" spans="1:9">
      <c r="A11" s="63" t="s"/>
      <c r="B11" s="27" t="s"/>
      <c r="C11" s="30" t="s"/>
      <c r="D11" s="18" t="s">
        <v>18</v>
      </c>
      <c r="E11" s="43">
        <v>0.5</v>
      </c>
      <c r="F11" s="21">
        <v>0.25</v>
      </c>
      <c r="G11" s="44">
        <f>=E11*F11</f>
        <v>0.125</v>
      </c>
      <c r="H11" s="45" t="s">
        <v>14</v>
      </c>
      <c r="I11" s="46" t="s"/>
    </row>
    <row r="12" spans="1:9">
      <c r="A12" s="63" t="s"/>
      <c r="B12" s="30" t="s"/>
      <c r="C12" s="31" t="s"/>
      <c r="D12" s="18" t="s">
        <v>15</v>
      </c>
      <c r="E12" s="43">
        <v>16</v>
      </c>
      <c r="F12" s="21">
        <v>0.25</v>
      </c>
      <c r="G12" s="44">
        <f>=E12*F12</f>
        <v>4</v>
      </c>
      <c r="H12" s="45" t="s">
        <v>14</v>
      </c>
      <c r="I12" s="46" t="s"/>
    </row>
    <row r="13" spans="1:9" ht="17.25" customHeight="1">
      <c r="A13" s="63" t="s"/>
      <c r="B13" s="41" t="s">
        <v>21</v>
      </c>
      <c r="C13" s="42" t="s">
        <v>20</v>
      </c>
      <c r="D13" s="18" t="s">
        <v>13</v>
      </c>
      <c r="E13" s="43">
        <v>4</v>
      </c>
      <c r="F13" s="21">
        <v>0.25</v>
      </c>
      <c r="G13" s="44">
        <f>=E13*F13</f>
        <v>1</v>
      </c>
      <c r="H13" s="45" t="s">
        <v>14</v>
      </c>
      <c r="I13" s="46" t="s"/>
    </row>
    <row r="14" spans="1:9">
      <c r="A14" s="63" t="s"/>
      <c r="B14" s="30" t="s"/>
      <c r="C14" s="31" t="s"/>
      <c r="D14" s="18" t="s">
        <v>15</v>
      </c>
      <c r="E14" s="43">
        <v>16</v>
      </c>
      <c r="F14" s="21">
        <v>0.25</v>
      </c>
      <c r="G14" s="44">
        <f>=E14*F14</f>
        <v>4</v>
      </c>
      <c r="H14" s="45" t="s">
        <v>14</v>
      </c>
      <c r="I14" s="46" t="s"/>
    </row>
    <row r="15" spans="1:9" ht="16.5" customHeight="1">
      <c r="A15" s="63" t="s"/>
      <c r="B15" s="47" t="s">
        <v>22</v>
      </c>
      <c r="C15" s="48" t="s">
        <v>20</v>
      </c>
      <c r="D15" s="18" t="s">
        <v>13</v>
      </c>
      <c r="E15" s="43">
        <v>4</v>
      </c>
      <c r="F15" s="21">
        <v>0.25</v>
      </c>
      <c r="G15" s="44">
        <f>=E15*F15</f>
        <v>1</v>
      </c>
      <c r="H15" s="45" t="s">
        <v>14</v>
      </c>
      <c r="I15" s="46" t="s"/>
    </row>
    <row r="16" spans="1:9">
      <c r="A16" s="63" t="s"/>
      <c r="B16" s="30" t="s"/>
      <c r="C16" s="31" t="s"/>
      <c r="D16" s="18" t="s">
        <v>15</v>
      </c>
      <c r="E16" s="43">
        <v>16</v>
      </c>
      <c r="F16" s="21">
        <v>0.25</v>
      </c>
      <c r="G16" s="44">
        <f>=E16*F16</f>
        <v>4</v>
      </c>
      <c r="H16" s="45" t="s">
        <v>14</v>
      </c>
      <c r="I16" s="46" t="s"/>
    </row>
    <row r="17" spans="1:9" ht="16.5" customHeight="1">
      <c r="A17" s="63" t="s"/>
      <c r="B17" s="41" t="s">
        <v>23</v>
      </c>
      <c r="C17" s="42" t="s">
        <v>24</v>
      </c>
      <c r="D17" s="18" t="s">
        <v>13</v>
      </c>
      <c r="E17" s="49">
        <v>2</v>
      </c>
      <c r="F17" s="21">
        <v>0.25</v>
      </c>
      <c r="G17" s="44">
        <f>=E17*F17</f>
        <v>0.5</v>
      </c>
      <c r="H17" s="45" t="s">
        <v>14</v>
      </c>
      <c r="I17" s="46" t="s"/>
    </row>
    <row r="18" spans="1:9">
      <c r="A18" s="63" t="s"/>
      <c r="B18" s="30" t="s"/>
      <c r="C18" s="31" t="s"/>
      <c r="D18" s="18" t="s">
        <v>15</v>
      </c>
      <c r="E18" s="49">
        <v>8</v>
      </c>
      <c r="F18" s="21">
        <v>0.25</v>
      </c>
      <c r="G18" s="44">
        <f>=E18*F18</f>
        <v>2</v>
      </c>
      <c r="H18" s="45" t="s">
        <v>14</v>
      </c>
      <c r="I18" s="46" t="s"/>
    </row>
    <row r="19" spans="1:9" ht="19.5" customHeight="1">
      <c r="A19" s="63" t="s"/>
      <c r="B19" s="41" t="s">
        <v>25</v>
      </c>
      <c r="C19" s="42" t="s">
        <v>24</v>
      </c>
      <c r="D19" s="18" t="s">
        <v>13</v>
      </c>
      <c r="E19" s="49">
        <v>2</v>
      </c>
      <c r="F19" s="21">
        <v>0.25</v>
      </c>
      <c r="G19" s="44">
        <f>=E19*F19</f>
        <v>0.5</v>
      </c>
      <c r="H19" s="45" t="s">
        <v>14</v>
      </c>
      <c r="I19" s="46" t="s"/>
    </row>
    <row r="20" spans="1:9">
      <c r="A20" s="63" t="s"/>
      <c r="B20" s="30" t="s"/>
      <c r="C20" s="31" t="s"/>
      <c r="D20" s="18" t="s">
        <v>15</v>
      </c>
      <c r="E20" s="49">
        <v>8</v>
      </c>
      <c r="F20" s="21">
        <v>0.25</v>
      </c>
      <c r="G20" s="44">
        <f>=E20*F20</f>
        <v>2</v>
      </c>
      <c r="H20" s="45" t="s">
        <v>14</v>
      </c>
      <c r="I20" s="46" t="s"/>
    </row>
    <row r="21" spans="1:9" ht="20.25" customHeight="1">
      <c r="A21" s="63" t="s"/>
      <c r="B21" s="50" t="s">
        <v>26</v>
      </c>
      <c r="C21" s="42" t="s">
        <v>27</v>
      </c>
      <c r="D21" s="18" t="s">
        <v>13</v>
      </c>
      <c r="E21" s="49">
        <v>4.1</v>
      </c>
      <c r="F21" s="21">
        <v>0.25</v>
      </c>
      <c r="G21" s="44">
        <f>=E21*F21</f>
        <v>1.025</v>
      </c>
      <c r="H21" s="45" t="s">
        <v>14</v>
      </c>
      <c r="I21" s="46" t="s"/>
    </row>
    <row r="22" spans="1:9">
      <c r="A22" s="63" t="s"/>
      <c r="B22" s="51" t="s"/>
      <c r="C22" s="52" t="s"/>
      <c r="D22" s="18" t="s">
        <v>15</v>
      </c>
      <c r="E22" s="49">
        <v>4.1</v>
      </c>
      <c r="F22" s="21">
        <v>0.25</v>
      </c>
      <c r="G22" s="44">
        <f>=E22*F22</f>
        <v>1.025</v>
      </c>
      <c r="H22" s="45" t="s">
        <v>14</v>
      </c>
      <c r="I22" s="46" t="s"/>
    </row>
    <row r="23" spans="1:9" ht="18" customHeight="1">
      <c r="A23" s="63" t="s"/>
      <c r="B23" s="50" t="s">
        <v>28</v>
      </c>
      <c r="C23" s="42" t="s">
        <v>29</v>
      </c>
      <c r="D23" s="18" t="s">
        <v>13</v>
      </c>
      <c r="E23" s="49">
        <v>1.3</v>
      </c>
      <c r="F23" s="21">
        <v>0.25</v>
      </c>
      <c r="G23" s="44">
        <f>=E23*F23</f>
        <v>0.325</v>
      </c>
      <c r="H23" s="45" t="s">
        <v>14</v>
      </c>
      <c r="I23" s="46" t="s"/>
    </row>
    <row r="24" spans="1:9">
      <c r="A24" s="32" t="s"/>
      <c r="B24" s="53" t="s"/>
      <c r="C24" s="31" t="s"/>
      <c r="D24" s="54" t="s">
        <v>15</v>
      </c>
      <c r="E24" s="55">
        <v>1.3</v>
      </c>
      <c r="F24" s="56">
        <v>0.25</v>
      </c>
      <c r="G24" s="57">
        <f>=E24*F24</f>
        <v>0.325</v>
      </c>
      <c r="H24" s="58" t="s">
        <v>14</v>
      </c>
      <c r="I24" s="46" t="s"/>
    </row>
    <row r="25" spans="1:9">
      <c r="A25" s="59" t="s">
        <v>30</v>
      </c>
      <c r="B25" s="33" t="s">
        <v>31</v>
      </c>
      <c r="C25" s="34" t="s">
        <v>32</v>
      </c>
      <c r="D25" s="35" t="s">
        <v>13</v>
      </c>
      <c r="E25" s="60">
        <v>0.4</v>
      </c>
      <c r="F25" s="56">
        <v>0.4</v>
      </c>
      <c r="G25" s="57">
        <f>=E25*F25</f>
        <v>0.16</v>
      </c>
      <c r="H25" s="61" t="s">
        <v>14</v>
      </c>
      <c r="I25" s="62">
        <v>46129</v>
      </c>
    </row>
    <row r="26" spans="1:9">
      <c r="A26" s="63" t="s"/>
      <c r="B26" s="51" t="s"/>
      <c r="C26" s="30" t="s"/>
      <c r="D26" s="35" t="s">
        <v>15</v>
      </c>
      <c r="E26" s="60">
        <v>3.2</v>
      </c>
      <c r="F26" s="56">
        <v>0.4</v>
      </c>
      <c r="G26" s="57">
        <f>=E26*F26</f>
        <v>1.28</v>
      </c>
      <c r="H26" s="61" t="s">
        <v>14</v>
      </c>
      <c r="I26" s="29" t="s"/>
    </row>
    <row r="27" spans="1:9">
      <c r="A27" s="63" t="s"/>
      <c r="B27" s="33" t="s">
        <v>33</v>
      </c>
      <c r="C27" s="30" t="s"/>
      <c r="D27" s="35" t="s">
        <v>13</v>
      </c>
      <c r="E27" s="60">
        <v>1.6</v>
      </c>
      <c r="F27" s="56">
        <v>0.4</v>
      </c>
      <c r="G27" s="57">
        <f>=E27*F27</f>
        <v>0.64</v>
      </c>
      <c r="H27" s="61" t="s">
        <v>14</v>
      </c>
      <c r="I27" s="29" t="s"/>
    </row>
    <row r="28" spans="1:9">
      <c r="A28" s="63" t="s"/>
      <c r="B28" s="51" t="s"/>
      <c r="C28" s="52" t="s"/>
      <c r="D28" s="35" t="s">
        <v>15</v>
      </c>
      <c r="E28" s="60">
        <v>12.8</v>
      </c>
      <c r="F28" s="56">
        <v>0.4</v>
      </c>
      <c r="G28" s="57">
        <f>=E28*F28</f>
        <v>5.12</v>
      </c>
      <c r="H28" s="61" t="s">
        <v>14</v>
      </c>
      <c r="I28" s="29" t="s"/>
    </row>
    <row r="29" spans="1:9">
      <c r="A29" s="63" t="s"/>
      <c r="B29" s="33" t="s">
        <v>34</v>
      </c>
      <c r="C29" s="34" t="s">
        <v>35</v>
      </c>
      <c r="D29" s="35" t="s">
        <v>13</v>
      </c>
      <c r="E29" s="60">
        <v>0.8</v>
      </c>
      <c r="F29" s="56">
        <v>0.4</v>
      </c>
      <c r="G29" s="57">
        <f>=E29*F29</f>
        <v>0.32</v>
      </c>
      <c r="H29" s="61" t="s">
        <v>14</v>
      </c>
      <c r="I29" s="62">
        <v>46129</v>
      </c>
    </row>
    <row r="30" spans="1:9">
      <c r="A30" s="63" t="s"/>
      <c r="B30" s="51" t="s"/>
      <c r="C30" s="30" t="s"/>
      <c r="D30" s="35" t="s">
        <v>15</v>
      </c>
      <c r="E30" s="60">
        <v>6.4</v>
      </c>
      <c r="F30" s="56">
        <v>0.4</v>
      </c>
      <c r="G30" s="57">
        <f>=E30*F30</f>
        <v>2.56</v>
      </c>
      <c r="H30" s="61" t="s">
        <v>14</v>
      </c>
      <c r="I30" s="29" t="s"/>
    </row>
    <row r="31" spans="1:9">
      <c r="A31" s="63" t="s"/>
      <c r="B31" s="33" t="s">
        <v>36</v>
      </c>
      <c r="C31" s="30" t="s"/>
      <c r="D31" s="35" t="s">
        <v>13</v>
      </c>
      <c r="E31" s="60">
        <v>2</v>
      </c>
      <c r="F31" s="56">
        <v>0.4</v>
      </c>
      <c r="G31" s="57">
        <f>=E31*F31</f>
        <v>0.8</v>
      </c>
      <c r="H31" s="61" t="s">
        <v>14</v>
      </c>
      <c r="I31" s="29" t="s"/>
    </row>
    <row r="32" spans="1:9">
      <c r="A32" s="63" t="s"/>
      <c r="B32" s="51" t="s"/>
      <c r="C32" s="52" t="s"/>
      <c r="D32" s="35" t="s">
        <v>15</v>
      </c>
      <c r="E32" s="60">
        <v>16</v>
      </c>
      <c r="F32" s="56">
        <v>0.4</v>
      </c>
      <c r="G32" s="57">
        <f>=E32*F32</f>
        <v>6.4</v>
      </c>
      <c r="H32" s="61" t="s">
        <v>14</v>
      </c>
      <c r="I32" s="29" t="s"/>
    </row>
    <row r="33" spans="1:9">
      <c r="A33" s="63" t="s"/>
      <c r="B33" s="33" t="s">
        <v>37</v>
      </c>
      <c r="C33" s="34" t="s">
        <v>38</v>
      </c>
      <c r="D33" s="35" t="s">
        <v>13</v>
      </c>
      <c r="E33" s="22">
        <v>1.2</v>
      </c>
      <c r="F33" s="21">
        <v>0.25</v>
      </c>
      <c r="G33" s="22">
        <f>=E33*F33</f>
        <v>0.3</v>
      </c>
      <c r="H33" s="64" t="s">
        <v>14</v>
      </c>
      <c r="I33" s="40" t="s"/>
    </row>
    <row r="34" spans="1:9" ht="17.25" customHeight="1">
      <c r="A34" s="63" t="s"/>
      <c r="B34" s="51" t="s"/>
      <c r="C34" s="30" t="s"/>
      <c r="D34" s="35" t="s">
        <v>15</v>
      </c>
      <c r="E34" s="22">
        <v>7.2</v>
      </c>
      <c r="F34" s="21">
        <v>0.25</v>
      </c>
      <c r="G34" s="22">
        <f>=E34*F34</f>
        <v>1.8</v>
      </c>
      <c r="H34" s="64" t="s">
        <v>14</v>
      </c>
      <c r="I34" s="40" t="s"/>
    </row>
    <row r="35" spans="1:9">
      <c r="A35" s="63" t="s"/>
      <c r="B35" s="33" t="s">
        <v>39</v>
      </c>
      <c r="C35" s="30" t="s"/>
      <c r="D35" s="35" t="s">
        <v>13</v>
      </c>
      <c r="E35" s="22">
        <v>3</v>
      </c>
      <c r="F35" s="21">
        <v>0.25</v>
      </c>
      <c r="G35" s="22">
        <f>=E35*F35</f>
        <v>0.75</v>
      </c>
      <c r="H35" s="64" t="s">
        <v>14</v>
      </c>
      <c r="I35" s="40" t="s"/>
    </row>
    <row r="36" spans="1:9" ht="17.25" customHeight="1">
      <c r="A36" s="63" t="s"/>
      <c r="B36" s="51" t="s"/>
      <c r="C36" s="52" t="s"/>
      <c r="D36" s="35" t="s">
        <v>15</v>
      </c>
      <c r="E36" s="22">
        <v>18</v>
      </c>
      <c r="F36" s="21">
        <v>0.25</v>
      </c>
      <c r="G36" s="22">
        <f>=E36*F36</f>
        <v>4.5</v>
      </c>
      <c r="H36" s="64" t="s">
        <v>14</v>
      </c>
      <c r="I36" s="40" t="s"/>
    </row>
    <row r="37" spans="1:9">
      <c r="A37" s="63" t="s"/>
      <c r="B37" s="65" t="s">
        <v>40</v>
      </c>
      <c r="C37" s="28" t="s">
        <v>24</v>
      </c>
      <c r="D37" s="66" t="s">
        <v>13</v>
      </c>
      <c r="E37" s="67">
        <v>2</v>
      </c>
      <c r="F37" s="68">
        <v>0.25</v>
      </c>
      <c r="G37" s="67">
        <f>=E37*F37</f>
        <v>0.5</v>
      </c>
      <c r="H37" s="69" t="s">
        <v>14</v>
      </c>
      <c r="I37" s="46" t="s"/>
    </row>
    <row r="38" spans="1:9">
      <c r="A38" s="63" t="s"/>
      <c r="B38" s="51" t="s"/>
      <c r="C38" s="52" t="s"/>
      <c r="D38" s="18" t="s">
        <v>15</v>
      </c>
      <c r="E38" s="44">
        <v>8</v>
      </c>
      <c r="F38" s="21">
        <v>0.25</v>
      </c>
      <c r="G38" s="44">
        <f>=E38*F38</f>
        <v>2</v>
      </c>
      <c r="H38" s="70" t="s">
        <v>14</v>
      </c>
      <c r="I38" s="46" t="s"/>
    </row>
    <row r="39" spans="1:9">
      <c r="A39" s="63" t="s"/>
      <c r="B39" s="50" t="s">
        <v>41</v>
      </c>
      <c r="C39" s="42" t="s">
        <v>42</v>
      </c>
      <c r="D39" s="18" t="s">
        <v>13</v>
      </c>
      <c r="E39" s="44">
        <v>8</v>
      </c>
      <c r="F39" s="21">
        <v>0.25</v>
      </c>
      <c r="G39" s="44">
        <f>=E39*F39</f>
        <v>2</v>
      </c>
      <c r="H39" s="70" t="s">
        <v>14</v>
      </c>
      <c r="I39" s="46" t="s"/>
    </row>
    <row r="40" spans="1:9">
      <c r="A40" s="63" t="s"/>
      <c r="B40" s="51" t="s"/>
      <c r="C40" s="52" t="s"/>
      <c r="D40" s="18" t="s">
        <v>15</v>
      </c>
      <c r="E40" s="44">
        <v>16</v>
      </c>
      <c r="F40" s="21">
        <v>0.25</v>
      </c>
      <c r="G40" s="44">
        <f>=E40*F40</f>
        <v>4</v>
      </c>
      <c r="H40" s="70" t="s">
        <v>14</v>
      </c>
      <c r="I40" s="46" t="s"/>
    </row>
    <row r="41" spans="1:9">
      <c r="A41" s="63" t="s"/>
      <c r="B41" s="50" t="s">
        <v>43</v>
      </c>
      <c r="C41" s="42" t="s">
        <v>44</v>
      </c>
      <c r="D41" s="18" t="s">
        <v>13</v>
      </c>
      <c r="E41" s="44">
        <v>2.5</v>
      </c>
      <c r="F41" s="21">
        <v>0.25</v>
      </c>
      <c r="G41" s="44">
        <f>=E41*F41</f>
        <v>0.625</v>
      </c>
      <c r="H41" s="70" t="s">
        <v>14</v>
      </c>
      <c r="I41" s="46" t="s"/>
    </row>
    <row r="42" spans="1:9">
      <c r="A42" s="63" t="s"/>
      <c r="B42" s="51" t="s"/>
      <c r="C42" s="52" t="s"/>
      <c r="D42" s="18" t="s">
        <v>15</v>
      </c>
      <c r="E42" s="46">
        <v>10</v>
      </c>
      <c r="F42" s="21">
        <v>0.25</v>
      </c>
      <c r="G42" s="44">
        <f>=E42*F42</f>
        <v>2.5</v>
      </c>
      <c r="H42" s="70" t="s">
        <v>14</v>
      </c>
      <c r="I42" s="46" t="s"/>
    </row>
    <row r="43" spans="1:9">
      <c r="A43" s="71" t="s"/>
      <c r="B43" s="41" t="s">
        <v>45</v>
      </c>
      <c r="C43" s="42" t="s">
        <v>46</v>
      </c>
      <c r="D43" s="18" t="s">
        <v>13</v>
      </c>
      <c r="E43" s="44">
        <v>1</v>
      </c>
      <c r="F43" s="21">
        <v>0.4</v>
      </c>
      <c r="G43" s="44">
        <f>=E43*F43</f>
        <v>0.4</v>
      </c>
      <c r="H43" s="70" t="s">
        <v>14</v>
      </c>
      <c r="I43" s="72">
        <v>46129</v>
      </c>
    </row>
    <row r="44" spans="1:9">
      <c r="A44" s="71" t="s"/>
      <c r="B44" s="52" t="s"/>
      <c r="C44" s="52" t="s"/>
      <c r="D44" s="18" t="s">
        <v>15</v>
      </c>
      <c r="E44" s="44">
        <v>4</v>
      </c>
      <c r="F44" s="21">
        <v>0.4</v>
      </c>
      <c r="G44" s="44">
        <f>=E44*F44</f>
        <v>1.6</v>
      </c>
      <c r="H44" s="70" t="s">
        <v>14</v>
      </c>
      <c r="I44" s="73" t="s"/>
    </row>
    <row r="45" spans="1:9">
      <c r="A45" s="63" t="s"/>
      <c r="B45" s="50" t="s">
        <v>47</v>
      </c>
      <c r="C45" s="42" t="s">
        <v>48</v>
      </c>
      <c r="D45" s="18" t="s">
        <v>13</v>
      </c>
      <c r="E45" s="44">
        <v>1</v>
      </c>
      <c r="F45" s="21">
        <v>0.25</v>
      </c>
      <c r="G45" s="44">
        <f>=E45*F45</f>
        <v>0.25</v>
      </c>
      <c r="H45" s="70" t="s">
        <v>14</v>
      </c>
      <c r="I45" s="46" t="s"/>
    </row>
    <row r="46" spans="1:9">
      <c r="A46" s="63" t="s"/>
      <c r="B46" s="51" t="s"/>
      <c r="C46" s="52" t="s"/>
      <c r="D46" s="18" t="s">
        <v>15</v>
      </c>
      <c r="E46" s="46">
        <v>4</v>
      </c>
      <c r="F46" s="21">
        <v>0.25</v>
      </c>
      <c r="G46" s="44">
        <f>=E46*F46</f>
        <v>1</v>
      </c>
      <c r="H46" s="70" t="s">
        <v>14</v>
      </c>
      <c r="I46" s="46" t="s"/>
    </row>
    <row r="47" spans="1:9">
      <c r="A47" s="63" t="s"/>
      <c r="B47" s="74" t="s">
        <v>49</v>
      </c>
      <c r="C47" s="75" t="s">
        <v>50</v>
      </c>
      <c r="D47" s="76" t="s">
        <v>50</v>
      </c>
      <c r="E47" s="77" t="s">
        <v>50</v>
      </c>
      <c r="F47" s="76" t="s">
        <v>50</v>
      </c>
      <c r="G47" s="77" t="s">
        <v>50</v>
      </c>
      <c r="H47" s="78" t="s">
        <v>50</v>
      </c>
      <c r="I47" s="46" t="s"/>
    </row>
    <row r="48" spans="1:9">
      <c r="A48" s="63" t="s"/>
      <c r="B48" s="51" t="s"/>
      <c r="C48" s="52" t="s"/>
      <c r="D48" s="77" t="s">
        <v>50</v>
      </c>
      <c r="E48" s="77" t="s">
        <v>50</v>
      </c>
      <c r="F48" s="77" t="s">
        <v>50</v>
      </c>
      <c r="G48" s="77" t="s">
        <v>50</v>
      </c>
      <c r="H48" s="79" t="s">
        <v>50</v>
      </c>
      <c r="I48" s="46" t="s"/>
    </row>
    <row r="49" spans="1:9">
      <c r="A49" s="63" t="s"/>
      <c r="B49" s="50" t="s">
        <v>51</v>
      </c>
      <c r="C49" s="42" t="s">
        <v>48</v>
      </c>
      <c r="D49" s="18" t="s">
        <v>13</v>
      </c>
      <c r="E49" s="44">
        <v>1</v>
      </c>
      <c r="F49" s="21">
        <v>0.25</v>
      </c>
      <c r="G49" s="44">
        <f>=E49*F49</f>
        <v>0.25</v>
      </c>
      <c r="H49" s="70" t="s">
        <v>14</v>
      </c>
      <c r="I49" s="46" t="s"/>
    </row>
    <row r="50" spans="1:9">
      <c r="A50" s="63" t="s"/>
      <c r="B50" s="51" t="s"/>
      <c r="C50" s="52" t="s"/>
      <c r="D50" s="18" t="s">
        <v>15</v>
      </c>
      <c r="E50" s="46">
        <v>4</v>
      </c>
      <c r="F50" s="21">
        <v>0.25</v>
      </c>
      <c r="G50" s="44">
        <f>=E50*F50</f>
        <v>1</v>
      </c>
      <c r="H50" s="70" t="s">
        <v>14</v>
      </c>
      <c r="I50" s="46" t="s"/>
    </row>
    <row r="51" spans="1:9" ht="17.25" customHeight="1">
      <c r="A51" s="63" t="s"/>
      <c r="B51" s="50" t="s">
        <v>52</v>
      </c>
      <c r="C51" s="42" t="s">
        <v>53</v>
      </c>
      <c r="D51" s="18" t="s">
        <v>13</v>
      </c>
      <c r="E51" s="44">
        <v>0.8</v>
      </c>
      <c r="F51" s="21">
        <v>0.25</v>
      </c>
      <c r="G51" s="44">
        <f>=E51*F51</f>
        <v>0.2</v>
      </c>
      <c r="H51" s="70" t="s">
        <v>14</v>
      </c>
      <c r="I51" s="46" t="s"/>
    </row>
    <row r="52" spans="1:9">
      <c r="A52" s="63" t="s"/>
      <c r="B52" s="51" t="s"/>
      <c r="C52" s="52" t="s"/>
      <c r="D52" s="18" t="s">
        <v>15</v>
      </c>
      <c r="E52" s="46">
        <v>1.6</v>
      </c>
      <c r="F52" s="21">
        <v>0.25</v>
      </c>
      <c r="G52" s="44">
        <f>=E52*F52</f>
        <v>0.4</v>
      </c>
      <c r="H52" s="70" t="s">
        <v>14</v>
      </c>
      <c r="I52" s="46" t="s"/>
    </row>
    <row r="53" spans="1:9">
      <c r="A53" s="63" t="s"/>
      <c r="B53" s="50" t="s">
        <v>54</v>
      </c>
      <c r="C53" s="48" t="s">
        <v>55</v>
      </c>
      <c r="D53" s="18" t="s">
        <v>13</v>
      </c>
      <c r="E53" s="44">
        <v>0.3</v>
      </c>
      <c r="F53" s="21">
        <v>0.25</v>
      </c>
      <c r="G53" s="44">
        <f>=E53*F53</f>
        <v>0.075</v>
      </c>
      <c r="H53" s="70" t="s">
        <v>14</v>
      </c>
      <c r="I53" s="46" t="s"/>
    </row>
    <row r="54" spans="1:9">
      <c r="A54" s="63" t="s"/>
      <c r="B54" s="51" t="s"/>
      <c r="C54" s="52" t="s"/>
      <c r="D54" s="18" t="s">
        <v>15</v>
      </c>
      <c r="E54" s="46">
        <v>0.6</v>
      </c>
      <c r="F54" s="21">
        <v>0.25</v>
      </c>
      <c r="G54" s="44">
        <f>=E54*F54</f>
        <v>0.15</v>
      </c>
      <c r="H54" s="70" t="s">
        <v>14</v>
      </c>
      <c r="I54" s="46" t="s"/>
    </row>
    <row r="55" spans="1:9">
      <c r="A55" s="63" t="s"/>
      <c r="B55" s="50" t="s">
        <v>56</v>
      </c>
      <c r="C55" s="48" t="s">
        <v>55</v>
      </c>
      <c r="D55" s="18" t="s">
        <v>13</v>
      </c>
      <c r="E55" s="44">
        <v>0.3</v>
      </c>
      <c r="F55" s="21">
        <v>0.25</v>
      </c>
      <c r="G55" s="44">
        <f>=E55*F55</f>
        <v>0.075</v>
      </c>
      <c r="H55" s="70" t="s">
        <v>14</v>
      </c>
      <c r="I55" s="46" t="s"/>
    </row>
    <row r="56" spans="1:9">
      <c r="A56" s="63" t="s"/>
      <c r="B56" s="51" t="s"/>
      <c r="C56" s="52" t="s"/>
      <c r="D56" s="18" t="s">
        <v>15</v>
      </c>
      <c r="E56" s="46">
        <v>0.6</v>
      </c>
      <c r="F56" s="21">
        <v>0.25</v>
      </c>
      <c r="G56" s="44">
        <f>=E56*F56</f>
        <v>0.15</v>
      </c>
      <c r="H56" s="70" t="s">
        <v>14</v>
      </c>
      <c r="I56" s="46" t="s"/>
    </row>
    <row r="57" spans="1:9">
      <c r="A57" s="63" t="s"/>
      <c r="B57" s="74" t="s">
        <v>57</v>
      </c>
      <c r="C57" s="80" t="s">
        <v>50</v>
      </c>
      <c r="D57" s="76" t="s">
        <v>50</v>
      </c>
      <c r="E57" s="76" t="s">
        <v>50</v>
      </c>
      <c r="F57" s="76" t="s">
        <v>50</v>
      </c>
      <c r="G57" s="76" t="s">
        <v>50</v>
      </c>
      <c r="H57" s="78" t="s">
        <v>50</v>
      </c>
      <c r="I57" s="46" t="s"/>
    </row>
    <row r="58" spans="1:9">
      <c r="A58" s="63" t="s"/>
      <c r="B58" s="74" t="s">
        <v>58</v>
      </c>
      <c r="C58" s="80" t="s">
        <v>50</v>
      </c>
      <c r="D58" s="76" t="s">
        <v>50</v>
      </c>
      <c r="E58" s="81" t="s">
        <v>50</v>
      </c>
      <c r="F58" s="77" t="s">
        <v>50</v>
      </c>
      <c r="G58" s="77" t="s">
        <v>50</v>
      </c>
      <c r="H58" s="79" t="s">
        <v>50</v>
      </c>
      <c r="I58" s="46" t="s"/>
    </row>
    <row r="59" spans="1:9">
      <c r="A59" s="71" t="s"/>
      <c r="B59" s="41" t="s">
        <v>59</v>
      </c>
      <c r="C59" s="42" t="s">
        <v>60</v>
      </c>
      <c r="D59" s="18" t="s">
        <v>13</v>
      </c>
      <c r="E59" s="46">
        <v>2</v>
      </c>
      <c r="F59" s="21">
        <v>0.25</v>
      </c>
      <c r="G59" s="44">
        <f>=E59*F59</f>
        <v>0.5</v>
      </c>
      <c r="H59" s="82" t="s">
        <v>14</v>
      </c>
      <c r="I59" s="72">
        <v>46129</v>
      </c>
    </row>
    <row r="60" spans="1:9">
      <c r="A60" s="71" t="s"/>
      <c r="B60" s="31" t="s"/>
      <c r="C60" s="31" t="s"/>
      <c r="D60" s="18" t="s">
        <v>15</v>
      </c>
      <c r="E60" s="46">
        <v>8</v>
      </c>
      <c r="F60" s="21">
        <v>0.25</v>
      </c>
      <c r="G60" s="44">
        <f>=E60*F60</f>
        <v>2</v>
      </c>
      <c r="H60" s="70" t="s">
        <v>14</v>
      </c>
      <c r="I60" s="32" t="s"/>
    </row>
    <row r="61" spans="1:9">
      <c r="A61" s="63" t="s"/>
      <c r="B61" s="41" t="s">
        <v>61</v>
      </c>
      <c r="C61" s="42" t="s">
        <v>62</v>
      </c>
      <c r="D61" s="18" t="s">
        <v>13</v>
      </c>
      <c r="E61" s="46">
        <v>0.75</v>
      </c>
      <c r="F61" s="21">
        <v>0.4</v>
      </c>
      <c r="G61" s="44">
        <f>=E61*F61</f>
        <v>0.3</v>
      </c>
      <c r="H61" s="70" t="s">
        <v>14</v>
      </c>
      <c r="I61" s="46" t="s"/>
    </row>
    <row r="62" spans="1:9">
      <c r="A62" s="63" t="s"/>
      <c r="B62" s="52" t="s"/>
      <c r="C62" s="52" t="s"/>
      <c r="D62" s="18" t="s">
        <v>15</v>
      </c>
      <c r="E62" s="46">
        <v>3</v>
      </c>
      <c r="F62" s="21">
        <v>0.4</v>
      </c>
      <c r="G62" s="44">
        <f>=E62*F62</f>
        <v>1.2</v>
      </c>
      <c r="H62" s="70" t="s">
        <v>14</v>
      </c>
      <c r="I62" s="46" t="s"/>
    </row>
    <row r="63" spans="1:9">
      <c r="A63" s="63" t="s"/>
      <c r="B63" s="50" t="s">
        <v>63</v>
      </c>
      <c r="C63" s="42" t="s">
        <v>64</v>
      </c>
      <c r="D63" s="18" t="s">
        <v>13</v>
      </c>
      <c r="E63" s="44">
        <v>4.13</v>
      </c>
      <c r="F63" s="21">
        <v>0.25</v>
      </c>
      <c r="G63" s="44">
        <f>=E63*F63</f>
        <v>1.0325</v>
      </c>
      <c r="H63" s="70" t="s">
        <v>14</v>
      </c>
      <c r="I63" s="46" t="s"/>
    </row>
    <row r="64" spans="1:9">
      <c r="A64" s="63" t="s"/>
      <c r="B64" s="51" t="s"/>
      <c r="C64" s="52" t="s"/>
      <c r="D64" s="18" t="s">
        <v>15</v>
      </c>
      <c r="E64" s="46">
        <v>4.13</v>
      </c>
      <c r="F64" s="21">
        <v>0.25</v>
      </c>
      <c r="G64" s="44">
        <f>=E64*F64</f>
        <v>1.0325</v>
      </c>
      <c r="H64" s="70" t="s">
        <v>14</v>
      </c>
      <c r="I64" s="46" t="s"/>
    </row>
    <row r="65" spans="1:9">
      <c r="A65" s="63" t="s"/>
      <c r="B65" s="83" t="s">
        <v>65</v>
      </c>
      <c r="C65" s="48" t="s">
        <v>66</v>
      </c>
      <c r="D65" s="18" t="s">
        <v>13</v>
      </c>
      <c r="E65" s="44">
        <v>4.13</v>
      </c>
      <c r="F65" s="21">
        <v>0.25</v>
      </c>
      <c r="G65" s="44">
        <f>=E65*F65</f>
        <v>1.0325</v>
      </c>
      <c r="H65" s="70" t="s">
        <v>14</v>
      </c>
      <c r="I65" s="46" t="s"/>
    </row>
    <row r="66" spans="1:9">
      <c r="A66" s="63" t="s"/>
      <c r="B66" s="51" t="s"/>
      <c r="C66" s="52" t="s"/>
      <c r="D66" s="18" t="s">
        <v>15</v>
      </c>
      <c r="E66" s="46">
        <v>4.13</v>
      </c>
      <c r="F66" s="21">
        <v>0.25</v>
      </c>
      <c r="G66" s="44">
        <f>=E66*F66</f>
        <v>1.0325</v>
      </c>
      <c r="H66" s="70" t="s">
        <v>14</v>
      </c>
      <c r="I66" s="46" t="s"/>
    </row>
    <row r="67" spans="1:9">
      <c r="A67" s="63" t="s"/>
      <c r="B67" s="50" t="s">
        <v>67</v>
      </c>
      <c r="C67" s="42" t="s">
        <v>53</v>
      </c>
      <c r="D67" s="18" t="s">
        <v>13</v>
      </c>
      <c r="E67" s="44">
        <v>0.8</v>
      </c>
      <c r="F67" s="21">
        <v>0.25</v>
      </c>
      <c r="G67" s="44">
        <f>=E67*F67</f>
        <v>0.2</v>
      </c>
      <c r="H67" s="70" t="s">
        <v>14</v>
      </c>
      <c r="I67" s="46" t="s"/>
    </row>
    <row r="68" spans="1:9">
      <c r="A68" s="63" t="s"/>
      <c r="B68" s="51" t="s"/>
      <c r="C68" s="52" t="s"/>
      <c r="D68" s="18" t="s">
        <v>15</v>
      </c>
      <c r="E68" s="46">
        <v>1.6</v>
      </c>
      <c r="F68" s="21">
        <v>0.25</v>
      </c>
      <c r="G68" s="44">
        <f>=E68*F68</f>
        <v>0.4</v>
      </c>
      <c r="H68" s="70" t="s">
        <v>14</v>
      </c>
      <c r="I68" s="46" t="s"/>
    </row>
    <row r="69" spans="1:9" ht="22.5" customHeight="1">
      <c r="A69" s="32" t="s"/>
      <c r="B69" s="74" t="s">
        <v>68</v>
      </c>
      <c r="C69" s="80" t="s">
        <v>50</v>
      </c>
      <c r="D69" s="76" t="s">
        <v>50</v>
      </c>
      <c r="E69" s="76" t="s">
        <v>50</v>
      </c>
      <c r="F69" s="76" t="s">
        <v>50</v>
      </c>
      <c r="G69" s="76" t="s">
        <v>50</v>
      </c>
      <c r="H69" s="78" t="s">
        <v>50</v>
      </c>
      <c r="I69" s="46" t="s"/>
    </row>
    <row r="70" spans="1:9">
      <c r="A70" s="71" t="s">
        <v>69</v>
      </c>
      <c r="B70" s="84" t="s">
        <v>70</v>
      </c>
      <c r="C70" s="34" t="s">
        <v>71</v>
      </c>
      <c r="D70" s="18" t="s">
        <v>13</v>
      </c>
      <c r="E70" s="22">
        <v>2.1</v>
      </c>
      <c r="F70" s="85">
        <v>0.8</v>
      </c>
      <c r="G70" s="22">
        <f>=E70*F70</f>
        <v>1.68</v>
      </c>
      <c r="H70" s="64" t="s">
        <v>14</v>
      </c>
      <c r="I70" s="86">
        <v>46129</v>
      </c>
    </row>
    <row r="71" spans="1:9">
      <c r="A71" s="87" t="s"/>
      <c r="B71" s="52" t="s"/>
      <c r="C71" s="52" t="s"/>
      <c r="D71" s="18" t="s">
        <v>15</v>
      </c>
      <c r="E71" s="22">
        <v>8.4</v>
      </c>
      <c r="F71" s="21">
        <v>0.8</v>
      </c>
      <c r="G71" s="22">
        <f>=E71*F71</f>
        <v>6.72</v>
      </c>
      <c r="H71" s="64" t="s">
        <v>14</v>
      </c>
      <c r="I71" s="29" t="s"/>
    </row>
    <row r="72" spans="1:9">
      <c r="A72" s="59" t="s">
        <v>72</v>
      </c>
      <c r="B72" s="88" t="s">
        <v>73</v>
      </c>
      <c r="C72" s="89" t="s">
        <v>74</v>
      </c>
      <c r="D72" s="35" t="s">
        <v>13</v>
      </c>
      <c r="E72" s="22">
        <v>6</v>
      </c>
      <c r="F72" s="21">
        <v>0.7</v>
      </c>
      <c r="G72" s="22">
        <f>=E72*F72</f>
        <v>4.2</v>
      </c>
      <c r="H72" s="64" t="s">
        <v>14</v>
      </c>
      <c r="I72" s="62">
        <v>46129</v>
      </c>
    </row>
    <row r="73" spans="1:9">
      <c r="A73" s="63" t="s"/>
      <c r="B73" s="90" t="s"/>
      <c r="C73" s="63" t="s"/>
      <c r="D73" s="35" t="s">
        <v>15</v>
      </c>
      <c r="E73" s="22">
        <v>24</v>
      </c>
      <c r="F73" s="21">
        <v>0.7</v>
      </c>
      <c r="G73" s="22">
        <f>=E73*F73</f>
        <v>16.8</v>
      </c>
      <c r="H73" s="64" t="s">
        <v>14</v>
      </c>
      <c r="I73" s="29" t="s"/>
    </row>
    <row r="74" spans="1:9">
      <c r="A74" s="63" t="s"/>
      <c r="B74" s="88" t="s">
        <v>75</v>
      </c>
      <c r="C74" s="63" t="s"/>
      <c r="D74" s="35" t="s">
        <v>13</v>
      </c>
      <c r="E74" s="22">
        <v>8</v>
      </c>
      <c r="F74" s="21">
        <v>0.7</v>
      </c>
      <c r="G74" s="22">
        <f>=E74*F74</f>
        <v>5.6</v>
      </c>
      <c r="H74" s="64" t="s">
        <v>14</v>
      </c>
      <c r="I74" s="29" t="s"/>
    </row>
    <row r="75" spans="1:9">
      <c r="A75" s="63" t="s"/>
      <c r="B75" s="90" t="s"/>
      <c r="C75" s="32" t="s"/>
      <c r="D75" s="35" t="s">
        <v>15</v>
      </c>
      <c r="E75" s="22">
        <v>28</v>
      </c>
      <c r="F75" s="21">
        <v>0.7</v>
      </c>
      <c r="G75" s="22">
        <f>=E75*F75</f>
        <v>19.6</v>
      </c>
      <c r="H75" s="64" t="s">
        <v>14</v>
      </c>
      <c r="I75" s="29" t="s"/>
    </row>
    <row r="76" spans="1:9">
      <c r="A76" s="63" t="s"/>
      <c r="B76" s="91" t="s">
        <v>76</v>
      </c>
      <c r="C76" s="92" t="s">
        <v>77</v>
      </c>
      <c r="D76" s="93" t="s">
        <v>13</v>
      </c>
      <c r="E76" s="22">
        <v>4</v>
      </c>
      <c r="F76" s="21">
        <v>0.75</v>
      </c>
      <c r="G76" s="22">
        <f>=E76*F76</f>
        <v>3</v>
      </c>
      <c r="H76" s="64" t="s">
        <v>14</v>
      </c>
      <c r="I76" s="40" t="s"/>
    </row>
    <row r="77" spans="1:9">
      <c r="A77" s="63" t="s"/>
      <c r="B77" s="29" t="s"/>
      <c r="C77" s="63" t="s"/>
      <c r="D77" s="93" t="s">
        <v>15</v>
      </c>
      <c r="E77" s="22">
        <v>18</v>
      </c>
      <c r="F77" s="21">
        <v>0.75</v>
      </c>
      <c r="G77" s="22">
        <f>=E77*F77</f>
        <v>13.5</v>
      </c>
      <c r="H77" s="64" t="s">
        <v>14</v>
      </c>
      <c r="I77" s="40" t="s"/>
    </row>
    <row r="78" spans="1:9">
      <c r="A78" s="63" t="s"/>
      <c r="B78" s="88" t="s">
        <v>78</v>
      </c>
      <c r="C78" s="63" t="s"/>
      <c r="D78" s="35" t="s">
        <v>13</v>
      </c>
      <c r="E78" s="22">
        <v>6</v>
      </c>
      <c r="F78" s="21">
        <v>0.75</v>
      </c>
      <c r="G78" s="22">
        <f>=E78*F78</f>
        <v>4.5</v>
      </c>
      <c r="H78" s="64" t="s">
        <v>14</v>
      </c>
      <c r="I78" s="40" t="s"/>
    </row>
    <row r="79" spans="1:9">
      <c r="A79" s="63" t="s"/>
      <c r="B79" s="29" t="s"/>
      <c r="C79" s="32" t="s"/>
      <c r="D79" s="35" t="s">
        <v>15</v>
      </c>
      <c r="E79" s="22">
        <v>22</v>
      </c>
      <c r="F79" s="21">
        <v>0.75</v>
      </c>
      <c r="G79" s="22">
        <f>=E79*F79</f>
        <v>16.5</v>
      </c>
      <c r="H79" s="64" t="s">
        <v>14</v>
      </c>
      <c r="I79" s="40" t="s"/>
    </row>
    <row r="80" spans="1:9">
      <c r="A80" s="63" t="s"/>
      <c r="B80" s="91" t="s">
        <v>79</v>
      </c>
      <c r="C80" s="92" t="s">
        <v>80</v>
      </c>
      <c r="D80" s="93" t="s">
        <v>13</v>
      </c>
      <c r="E80" s="22">
        <v>1</v>
      </c>
      <c r="F80" s="21">
        <v>0.8</v>
      </c>
      <c r="G80" s="22">
        <f>=E80*F80</f>
        <v>0.8</v>
      </c>
      <c r="H80" s="64" t="s">
        <v>14</v>
      </c>
      <c r="I80" s="62">
        <v>46129</v>
      </c>
    </row>
    <row r="81" spans="1:9">
      <c r="A81" s="63" t="s"/>
      <c r="B81" s="29" t="s"/>
      <c r="C81" s="63" t="s"/>
      <c r="D81" s="93" t="s">
        <v>15</v>
      </c>
      <c r="E81" s="22">
        <v>3</v>
      </c>
      <c r="F81" s="21">
        <v>0.8</v>
      </c>
      <c r="G81" s="22">
        <f>=E81*F81</f>
        <v>2.4</v>
      </c>
      <c r="H81" s="64" t="s">
        <v>14</v>
      </c>
      <c r="I81" s="29" t="s"/>
    </row>
    <row r="82" spans="1:9">
      <c r="A82" s="63" t="s"/>
      <c r="B82" s="88" t="s">
        <v>81</v>
      </c>
      <c r="C82" s="63" t="s"/>
      <c r="D82" s="35" t="s">
        <v>13</v>
      </c>
      <c r="E82" s="22">
        <v>2</v>
      </c>
      <c r="F82" s="21">
        <v>0.8</v>
      </c>
      <c r="G82" s="22">
        <f>=E82*F82</f>
        <v>1.6</v>
      </c>
      <c r="H82" s="64" t="s">
        <v>14</v>
      </c>
      <c r="I82" s="29" t="s"/>
    </row>
    <row r="83" spans="1:9">
      <c r="A83" s="87" t="s"/>
      <c r="B83" s="29" t="s"/>
      <c r="C83" s="32" t="s"/>
      <c r="D83" s="35" t="s">
        <v>15</v>
      </c>
      <c r="E83" s="22">
        <v>6</v>
      </c>
      <c r="F83" s="21">
        <v>0.8</v>
      </c>
      <c r="G83" s="22">
        <f>=E83*F83</f>
        <v>4.8</v>
      </c>
      <c r="H83" s="64" t="s">
        <v>14</v>
      </c>
      <c r="I83" s="29" t="s"/>
    </row>
    <row r="84" spans="1:9">
      <c r="A84" s="59" t="s">
        <v>82</v>
      </c>
      <c r="B84" s="59" t="s">
        <v>83</v>
      </c>
      <c r="C84" s="54" t="s">
        <v>84</v>
      </c>
      <c r="D84" s="35" t="s">
        <v>13</v>
      </c>
      <c r="E84" s="44">
        <v>4</v>
      </c>
      <c r="F84" s="21">
        <v>0.7</v>
      </c>
      <c r="G84" s="44">
        <f>=E84*F84</f>
        <v>2.8</v>
      </c>
      <c r="H84" s="70" t="s">
        <v>14</v>
      </c>
      <c r="I84" s="86">
        <v>46129</v>
      </c>
    </row>
    <row r="85" spans="1:9">
      <c r="A85" s="63" t="s"/>
      <c r="B85" s="32" t="s"/>
      <c r="C85" s="32" t="s"/>
      <c r="D85" s="35" t="s">
        <v>15</v>
      </c>
      <c r="E85" s="44">
        <v>21</v>
      </c>
      <c r="F85" s="21">
        <v>0.7</v>
      </c>
      <c r="G85" s="44">
        <f>=E85*F85</f>
        <v>14.7</v>
      </c>
      <c r="H85" s="70" t="s">
        <v>14</v>
      </c>
      <c r="I85" s="29" t="s"/>
    </row>
    <row r="86" spans="1:9">
      <c r="A86" s="63" t="s"/>
      <c r="B86" s="17" t="s">
        <v>85</v>
      </c>
      <c r="C86" s="54" t="s">
        <v>20</v>
      </c>
      <c r="D86" s="18" t="s">
        <v>13</v>
      </c>
      <c r="E86" s="44">
        <v>4</v>
      </c>
      <c r="F86" s="21">
        <v>0.25</v>
      </c>
      <c r="G86" s="44">
        <f>=E86*F86</f>
        <v>1</v>
      </c>
      <c r="H86" s="70" t="s">
        <v>14</v>
      </c>
      <c r="I86" s="46" t="s"/>
    </row>
    <row r="87" spans="1:9">
      <c r="A87" s="63" t="s"/>
      <c r="B87" s="29" t="s"/>
      <c r="C87" s="32" t="s"/>
      <c r="D87" s="18" t="s">
        <v>15</v>
      </c>
      <c r="E87" s="44">
        <v>16</v>
      </c>
      <c r="F87" s="21">
        <v>0.25</v>
      </c>
      <c r="G87" s="44">
        <f>=E87*F87</f>
        <v>4</v>
      </c>
      <c r="H87" s="70" t="s">
        <v>14</v>
      </c>
      <c r="I87" s="46" t="s"/>
    </row>
    <row r="88" spans="1:9">
      <c r="A88" s="63" t="s"/>
      <c r="B88" s="17" t="s">
        <v>86</v>
      </c>
      <c r="C88" s="54" t="s">
        <v>20</v>
      </c>
      <c r="D88" s="18" t="s">
        <v>13</v>
      </c>
      <c r="E88" s="44">
        <v>4</v>
      </c>
      <c r="F88" s="21">
        <v>0.25</v>
      </c>
      <c r="G88" s="44">
        <f>=E88*F88</f>
        <v>1</v>
      </c>
      <c r="H88" s="70" t="s">
        <v>14</v>
      </c>
      <c r="I88" s="46" t="s"/>
    </row>
    <row r="89" spans="1:9">
      <c r="A89" s="32" t="s"/>
      <c r="B89" s="29" t="s"/>
      <c r="C89" s="32" t="s"/>
      <c r="D89" s="18" t="s">
        <v>15</v>
      </c>
      <c r="E89" s="44">
        <v>16</v>
      </c>
      <c r="F89" s="21">
        <v>0.25</v>
      </c>
      <c r="G89" s="44">
        <f>=E89*F89</f>
        <v>4</v>
      </c>
      <c r="H89" s="70" t="s">
        <v>14</v>
      </c>
      <c r="I89" s="46" t="s"/>
    </row>
    <row r="90" spans="1:9">
      <c r="A90" s="59" t="s">
        <v>87</v>
      </c>
      <c r="B90" s="59" t="s">
        <v>88</v>
      </c>
      <c r="C90" s="54" t="s">
        <v>89</v>
      </c>
      <c r="D90" s="54" t="s">
        <v>13</v>
      </c>
      <c r="E90" s="94">
        <v>0.5</v>
      </c>
      <c r="F90" s="56">
        <v>0.25</v>
      </c>
      <c r="G90" s="57">
        <f>=E90*F90</f>
        <v>0.125</v>
      </c>
      <c r="H90" s="95" t="s">
        <v>14</v>
      </c>
      <c r="I90" s="46" t="s"/>
    </row>
    <row r="91" spans="1:9">
      <c r="A91" s="29" t="s">
        <v>90</v>
      </c>
      <c r="B91" s="17" t="s">
        <v>91</v>
      </c>
      <c r="C91" s="18" t="s">
        <v>89</v>
      </c>
      <c r="D91" s="18" t="s">
        <v>13</v>
      </c>
      <c r="E91" s="96">
        <v>0.5</v>
      </c>
      <c r="F91" s="21">
        <v>0.25</v>
      </c>
      <c r="G91" s="44">
        <f>=E91*F91</f>
        <v>0.125</v>
      </c>
      <c r="H91" s="70" t="s">
        <v>14</v>
      </c>
      <c r="I91" s="46" t="s"/>
    </row>
    <row r="92" spans="1:9">
      <c r="A92" s="97" t="s"/>
      <c r="B92" s="59" t="s">
        <v>92</v>
      </c>
      <c r="C92" s="54" t="s">
        <v>93</v>
      </c>
      <c r="D92" s="54" t="s">
        <v>13</v>
      </c>
      <c r="E92" s="94">
        <v>0.07</v>
      </c>
      <c r="F92" s="21">
        <v>0.25</v>
      </c>
      <c r="G92" s="44">
        <f>=E92*F92</f>
        <v>0.0175</v>
      </c>
      <c r="H92" s="95" t="s">
        <v>14</v>
      </c>
      <c r="I92" s="46" t="s"/>
    </row>
    <row r="93" spans="1:9">
      <c r="A93" s="98" t="s">
        <v>94</v>
      </c>
      <c r="B93" s="99" t="s">
        <v>95</v>
      </c>
      <c r="C93" s="100" t="s">
        <v>50</v>
      </c>
      <c r="D93" s="76" t="s">
        <v>50</v>
      </c>
      <c r="E93" s="76" t="s">
        <v>50</v>
      </c>
      <c r="F93" s="76" t="s">
        <v>50</v>
      </c>
      <c r="G93" s="76" t="s">
        <v>50</v>
      </c>
      <c r="H93" s="78" t="s">
        <v>50</v>
      </c>
      <c r="I93" s="46" t="s"/>
    </row>
    <row r="94" spans="1:9">
      <c r="A94" s="101" t="s">
        <v>96</v>
      </c>
      <c r="B94" s="102" t="s">
        <v>97</v>
      </c>
      <c r="C94" s="76" t="s">
        <v>50</v>
      </c>
      <c r="D94" s="76" t="s">
        <v>50</v>
      </c>
      <c r="E94" s="76" t="s">
        <v>50</v>
      </c>
      <c r="F94" s="76" t="s">
        <v>50</v>
      </c>
      <c r="G94" s="76" t="s">
        <v>50</v>
      </c>
      <c r="H94" s="78" t="s">
        <v>50</v>
      </c>
      <c r="I94" s="46" t="s"/>
    </row>
    <row r="95" spans="1:9">
      <c r="A95" s="97" t="s"/>
      <c r="B95" s="99" t="s">
        <v>98</v>
      </c>
      <c r="C95" s="103" t="s">
        <v>50</v>
      </c>
      <c r="D95" s="100" t="s">
        <v>50</v>
      </c>
      <c r="E95" s="100" t="s">
        <v>50</v>
      </c>
      <c r="F95" s="100" t="s">
        <v>50</v>
      </c>
      <c r="G95" s="100" t="s">
        <v>50</v>
      </c>
      <c r="H95" s="104" t="s">
        <v>50</v>
      </c>
      <c r="I95" s="46" t="s"/>
    </row>
    <row r="96" spans="1:9">
      <c r="A96" s="98" t="s">
        <v>99</v>
      </c>
      <c r="B96" s="99" t="s">
        <v>100</v>
      </c>
      <c r="C96" s="103" t="s">
        <v>50</v>
      </c>
      <c r="D96" s="100" t="s">
        <v>50</v>
      </c>
      <c r="E96" s="100" t="s">
        <v>50</v>
      </c>
      <c r="F96" s="100" t="s">
        <v>50</v>
      </c>
      <c r="G96" s="100" t="s">
        <v>50</v>
      </c>
      <c r="H96" s="104" t="s">
        <v>50</v>
      </c>
      <c r="I96" s="46" t="s"/>
    </row>
    <row r="97" spans="1:9">
      <c r="A97" s="101" t="s">
        <v>101</v>
      </c>
      <c r="B97" s="102" t="s">
        <v>102</v>
      </c>
      <c r="C97" s="105" t="s">
        <v>50</v>
      </c>
      <c r="D97" s="76" t="s">
        <v>50</v>
      </c>
      <c r="E97" s="76" t="s">
        <v>50</v>
      </c>
      <c r="F97" s="76" t="s">
        <v>50</v>
      </c>
      <c r="G97" s="76" t="s">
        <v>50</v>
      </c>
      <c r="H97" s="78" t="s">
        <v>50</v>
      </c>
      <c r="I97" s="46" t="s"/>
    </row>
    <row r="98" spans="1:8">
      <c r="A98" s="106" t="s"/>
      <c r="B98" s="107" t="s"/>
      <c r="C98" s="108" t="s"/>
      <c r="D98" s="107" t="s"/>
      <c r="E98" s="109" t="s"/>
      <c r="F98" s="110" t="s"/>
      <c r="G98" s="109" t="s"/>
      <c r="H98" s="111" t="s"/>
    </row>
    <row r="99" spans="1:8">
      <c r="A99" s="112" t="s"/>
      <c r="B99" s="107" t="s"/>
      <c r="C99" s="108" t="s"/>
      <c r="D99" s="107" t="s"/>
      <c r="E99" s="109" t="s"/>
      <c r="F99" s="110" t="s"/>
      <c r="G99" s="109" t="s"/>
      <c r="H99" s="113" t="s"/>
    </row>
    <row r="100" spans="1:8" ht="39" customHeight="1">
      <c r="A100" s="114" t="s">
        <v>179</v>
      </c>
      <c r="B100" s="29" t="s"/>
      <c r="C100" s="114" t="s"/>
      <c r="D100" s="29" t="s"/>
      <c r="E100" s="29" t="s"/>
      <c r="F100" s="115" t="s"/>
      <c r="G100" s="29" t="s"/>
      <c r="H100" s="29" t="s"/>
    </row>
    <row r="101" spans="1:8" ht="36" customHeight="1">
      <c r="A101" s="9" t="s">
        <v>2</v>
      </c>
      <c r="B101" s="116" t="s"/>
      <c r="C101" s="11" t="s">
        <v>3</v>
      </c>
      <c r="D101" s="117" t="s">
        <v>103</v>
      </c>
      <c r="E101" s="118" t="s">
        <v>5</v>
      </c>
      <c r="F101" s="14" t="s">
        <v>6</v>
      </c>
      <c r="G101" s="119" t="s">
        <v>7</v>
      </c>
      <c r="H101" s="120" t="s">
        <v>8</v>
      </c>
    </row>
    <row r="102" spans="1:8">
      <c r="A102" s="17" t="s">
        <v>10</v>
      </c>
      <c r="B102" s="17" t="s">
        <v>16</v>
      </c>
      <c r="C102" s="54" t="s">
        <v>104</v>
      </c>
      <c r="D102" s="54" t="s">
        <v>105</v>
      </c>
      <c r="E102" s="121">
        <v>1</v>
      </c>
      <c r="F102" s="56">
        <v>0.9</v>
      </c>
      <c r="G102" s="57">
        <f>=E102*F102</f>
        <v>0.9</v>
      </c>
      <c r="H102" s="122" t="s">
        <v>14</v>
      </c>
    </row>
    <row r="103" spans="1:8">
      <c r="A103" s="29" t="s"/>
      <c r="B103" s="123" t="s"/>
      <c r="C103" s="124" t="s"/>
      <c r="D103" s="18" t="s">
        <v>106</v>
      </c>
      <c r="E103" s="125">
        <v>1.5</v>
      </c>
      <c r="F103" s="21">
        <v>0.9</v>
      </c>
      <c r="G103" s="44">
        <f>=E103*F103</f>
        <v>1.35</v>
      </c>
      <c r="H103" s="46" t="s">
        <v>14</v>
      </c>
    </row>
    <row r="104" spans="1:8">
      <c r="A104" s="29" t="s"/>
      <c r="B104" s="126" t="s">
        <v>19</v>
      </c>
      <c r="C104" s="124" t="s"/>
      <c r="D104" s="127" t="s">
        <v>105</v>
      </c>
      <c r="E104" s="128">
        <v>2</v>
      </c>
      <c r="F104" s="21">
        <v>0.25</v>
      </c>
      <c r="G104" s="44">
        <f>=E104*F104</f>
        <v>0.5</v>
      </c>
      <c r="H104" s="46" t="s">
        <v>14</v>
      </c>
    </row>
    <row r="105" spans="1:8">
      <c r="A105" s="29" t="s"/>
      <c r="B105" s="126" t="s"/>
      <c r="C105" s="124" t="s"/>
      <c r="D105" s="127" t="s">
        <v>106</v>
      </c>
      <c r="E105" s="128">
        <v>8</v>
      </c>
      <c r="F105" s="21">
        <v>0.25</v>
      </c>
      <c r="G105" s="44">
        <f>=E105*F105</f>
        <v>2</v>
      </c>
      <c r="H105" s="46" t="s">
        <v>14</v>
      </c>
    </row>
    <row r="106" spans="1:8">
      <c r="A106" s="29" t="s"/>
      <c r="B106" s="126" t="s">
        <v>21</v>
      </c>
      <c r="C106" s="124" t="s"/>
      <c r="D106" s="18" t="s">
        <v>105</v>
      </c>
      <c r="E106" s="125">
        <v>1</v>
      </c>
      <c r="F106" s="21">
        <v>0.25</v>
      </c>
      <c r="G106" s="44">
        <f>=E106*F106</f>
        <v>0.25</v>
      </c>
      <c r="H106" s="46" t="s">
        <v>14</v>
      </c>
    </row>
    <row r="107" spans="1:8">
      <c r="A107" s="29" t="s"/>
      <c r="B107" s="123" t="s"/>
      <c r="C107" s="124" t="s"/>
      <c r="D107" s="18" t="s">
        <v>106</v>
      </c>
      <c r="E107" s="125">
        <v>4</v>
      </c>
      <c r="F107" s="21">
        <v>0.25</v>
      </c>
      <c r="G107" s="44">
        <f>=E107*F107</f>
        <v>1</v>
      </c>
      <c r="H107" s="46" t="s">
        <v>14</v>
      </c>
    </row>
    <row r="108" spans="1:8">
      <c r="A108" s="29" t="s"/>
      <c r="B108" s="129" t="s">
        <v>22</v>
      </c>
      <c r="C108" s="124" t="s"/>
      <c r="D108" s="18" t="s">
        <v>105</v>
      </c>
      <c r="E108" s="125">
        <v>1</v>
      </c>
      <c r="F108" s="21">
        <v>0.25</v>
      </c>
      <c r="G108" s="44">
        <f>=E108*F108</f>
        <v>0.25</v>
      </c>
      <c r="H108" s="46" t="s">
        <v>14</v>
      </c>
    </row>
    <row r="109" spans="1:8">
      <c r="A109" s="29" t="s"/>
      <c r="B109" s="123" t="s"/>
      <c r="C109" s="124" t="s"/>
      <c r="D109" s="18" t="s">
        <v>106</v>
      </c>
      <c r="E109" s="125">
        <v>4</v>
      </c>
      <c r="F109" s="21">
        <v>0.25</v>
      </c>
      <c r="G109" s="44">
        <f>=E109*F109</f>
        <v>1</v>
      </c>
      <c r="H109" s="46" t="s">
        <v>14</v>
      </c>
    </row>
    <row r="110" spans="1:8">
      <c r="A110" s="29" t="s"/>
      <c r="B110" s="126" t="s">
        <v>23</v>
      </c>
      <c r="C110" s="124" t="s"/>
      <c r="D110" s="18" t="s">
        <v>105</v>
      </c>
      <c r="E110" s="125">
        <v>1</v>
      </c>
      <c r="F110" s="21">
        <v>0.25</v>
      </c>
      <c r="G110" s="44">
        <f>=E110*F110</f>
        <v>0.25</v>
      </c>
      <c r="H110" s="46" t="s">
        <v>14</v>
      </c>
    </row>
    <row r="111" spans="1:8">
      <c r="A111" s="29" t="s"/>
      <c r="B111" s="123" t="s"/>
      <c r="C111" s="124" t="s"/>
      <c r="D111" s="18" t="s">
        <v>106</v>
      </c>
      <c r="E111" s="125">
        <v>4</v>
      </c>
      <c r="F111" s="21">
        <v>0.25</v>
      </c>
      <c r="G111" s="44">
        <f>=E111*F111</f>
        <v>1</v>
      </c>
      <c r="H111" s="46" t="s">
        <v>14</v>
      </c>
    </row>
    <row r="112" spans="1:8">
      <c r="A112" s="29" t="s"/>
      <c r="B112" s="126" t="s">
        <v>25</v>
      </c>
      <c r="C112" s="124" t="s"/>
      <c r="D112" s="18" t="s">
        <v>105</v>
      </c>
      <c r="E112" s="125">
        <v>1</v>
      </c>
      <c r="F112" s="21">
        <v>0.25</v>
      </c>
      <c r="G112" s="44">
        <f>=E112*F112</f>
        <v>0.25</v>
      </c>
      <c r="H112" s="46" t="s">
        <v>14</v>
      </c>
    </row>
    <row r="113" spans="1:8">
      <c r="A113" s="29" t="s"/>
      <c r="B113" s="123" t="s"/>
      <c r="C113" s="124" t="s"/>
      <c r="D113" s="18" t="s">
        <v>106</v>
      </c>
      <c r="E113" s="125">
        <v>4</v>
      </c>
      <c r="F113" s="21">
        <v>0.25</v>
      </c>
      <c r="G113" s="44">
        <f>=E113*F113</f>
        <v>1</v>
      </c>
      <c r="H113" s="46" t="s">
        <v>14</v>
      </c>
    </row>
    <row r="114" spans="1:8">
      <c r="A114" s="97" t="s">
        <v>30</v>
      </c>
      <c r="B114" s="88" t="s">
        <v>37</v>
      </c>
      <c r="C114" s="63" t="s"/>
      <c r="D114" s="18" t="s">
        <v>105</v>
      </c>
      <c r="E114" s="44">
        <v>0.6</v>
      </c>
      <c r="F114" s="21">
        <v>0.25</v>
      </c>
      <c r="G114" s="44">
        <f>=E114*F114</f>
        <v>0.15</v>
      </c>
      <c r="H114" s="46" t="s">
        <v>14</v>
      </c>
    </row>
    <row r="115" spans="1:8">
      <c r="A115" s="130" t="s"/>
      <c r="B115" s="29" t="s"/>
      <c r="C115" s="63" t="s"/>
      <c r="D115" s="54" t="s">
        <v>106</v>
      </c>
      <c r="E115" s="57">
        <v>3.6</v>
      </c>
      <c r="F115" s="56">
        <v>0.25</v>
      </c>
      <c r="G115" s="57">
        <f>=E115*F115</f>
        <v>0.9</v>
      </c>
      <c r="H115" s="131" t="s">
        <v>14</v>
      </c>
    </row>
    <row r="116" spans="1:8" ht="20.25" customHeight="1">
      <c r="A116" s="130" t="s"/>
      <c r="B116" s="88" t="s">
        <v>39</v>
      </c>
      <c r="C116" s="124" t="s"/>
      <c r="D116" s="132" t="s">
        <v>105</v>
      </c>
      <c r="E116" s="46">
        <v>1.5</v>
      </c>
      <c r="F116" s="21">
        <v>0.25</v>
      </c>
      <c r="G116" s="44">
        <f>=E116*F116</f>
        <v>0.375</v>
      </c>
      <c r="H116" s="122" t="s">
        <v>14</v>
      </c>
    </row>
    <row r="117" spans="1:8" ht="19.5" customHeight="1">
      <c r="A117" s="130" t="s"/>
      <c r="B117" s="29" t="s"/>
      <c r="C117" s="63" t="s"/>
      <c r="D117" s="18" t="s">
        <v>106</v>
      </c>
      <c r="E117" s="133">
        <v>9</v>
      </c>
      <c r="F117" s="21">
        <v>0.25</v>
      </c>
      <c r="G117" s="44">
        <f>=E117*F117</f>
        <v>2.25</v>
      </c>
      <c r="H117" s="122" t="s">
        <v>14</v>
      </c>
    </row>
    <row r="118" spans="1:8">
      <c r="A118" s="17" t="s">
        <v>72</v>
      </c>
      <c r="B118" s="88" t="s">
        <v>76</v>
      </c>
      <c r="C118" s="63" t="s"/>
      <c r="D118" s="18" t="s">
        <v>105</v>
      </c>
      <c r="E118" s="134">
        <v>2</v>
      </c>
      <c r="F118" s="68">
        <v>0.75</v>
      </c>
      <c r="G118" s="67">
        <f>=E118*F118</f>
        <v>1.5</v>
      </c>
      <c r="H118" s="135" t="s">
        <v>14</v>
      </c>
    </row>
    <row r="119" spans="1:8">
      <c r="A119" s="29" t="s"/>
      <c r="B119" s="29" t="s"/>
      <c r="C119" s="63" t="s"/>
      <c r="D119" s="18" t="s">
        <v>106</v>
      </c>
      <c r="E119" s="136">
        <v>9</v>
      </c>
      <c r="F119" s="21">
        <v>0.75</v>
      </c>
      <c r="G119" s="44">
        <f>=E119*F119</f>
        <v>6.75</v>
      </c>
      <c r="H119" s="46" t="s">
        <v>14</v>
      </c>
    </row>
    <row r="120" spans="1:8">
      <c r="A120" s="29" t="s"/>
      <c r="B120" s="88" t="s">
        <v>107</v>
      </c>
      <c r="C120" s="63" t="s"/>
      <c r="D120" s="18" t="s">
        <v>105</v>
      </c>
      <c r="E120" s="44">
        <v>3</v>
      </c>
      <c r="F120" s="21">
        <v>0.75</v>
      </c>
      <c r="G120" s="44">
        <f>=E120*F120</f>
        <v>2.25</v>
      </c>
      <c r="H120" s="46" t="s">
        <v>14</v>
      </c>
    </row>
    <row r="121" spans="1:8">
      <c r="A121" s="29" t="s"/>
      <c r="B121" s="29" t="s"/>
      <c r="C121" s="32" t="s"/>
      <c r="D121" s="18" t="s">
        <v>106</v>
      </c>
      <c r="E121" s="44">
        <v>11</v>
      </c>
      <c r="F121" s="21">
        <v>0.75</v>
      </c>
      <c r="G121" s="44">
        <f>=E121*F121</f>
        <v>8.25</v>
      </c>
      <c r="H121" s="46" t="s">
        <v>14</v>
      </c>
    </row>
    <row r="122" spans="6:8">
      <c r="F122" s="137" t="s"/>
      <c r="G122" s="113" t="s"/>
      <c r="H122" s="113" t="s"/>
    </row>
    <row r="123" spans="1:8" ht="20.25" customHeight="1">
      <c r="A123" s="138" t="s">
        <v>180</v>
      </c>
      <c r="B123" s="5" t="s"/>
      <c r="C123" s="139" t="s"/>
      <c r="D123" s="5" t="s"/>
      <c r="E123" s="5" t="s"/>
      <c r="F123" s="5" t="s"/>
      <c r="G123" s="5" t="s"/>
      <c r="H123" s="140" t="s"/>
    </row>
    <row r="124" spans="6:8">
      <c r="F124" s="137" t="s"/>
      <c r="G124" s="113" t="s"/>
      <c r="H124" s="113" t="s"/>
    </row>
    <row r="125" spans="1:8" ht="29.25" customHeight="1">
      <c r="A125" s="113" t="s"/>
      <c r="B125" s="113" t="s"/>
      <c r="C125" s="141" t="s"/>
      <c r="D125" s="113" t="s"/>
      <c r="E125" s="113" t="s"/>
      <c r="F125" s="142" t="s"/>
      <c r="G125" s="113" t="s"/>
      <c r="H125" s="113" t="s"/>
    </row>
    <row r="126" spans="1:8" ht="32.25" customHeight="1">
      <c r="A126" s="113" t="s"/>
      <c r="B126" s="113" t="s"/>
      <c r="C126" s="141" t="s"/>
      <c r="D126" s="113" t="s"/>
      <c r="E126" s="113" t="s"/>
      <c r="F126" s="113" t="s"/>
      <c r="G126" s="113" t="s"/>
      <c r="H126" s="113" t="s"/>
    </row>
    <row r="127" spans="1:8">
      <c r="A127" s="113" t="s"/>
      <c r="B127" s="113" t="s"/>
      <c r="C127" s="141" t="s"/>
      <c r="D127" s="113" t="s"/>
      <c r="E127" s="113" t="s"/>
      <c r="F127" s="142" t="s"/>
      <c r="G127" s="113" t="s"/>
      <c r="H127" s="113" t="s"/>
    </row>
    <row r="128" spans="1:8">
      <c r="A128" s="113" t="s"/>
      <c r="B128" s="113" t="s"/>
      <c r="C128" s="141" t="s"/>
      <c r="D128" s="113" t="s"/>
      <c r="E128" s="113" t="s"/>
      <c r="F128" s="142" t="s"/>
      <c r="G128" s="113" t="s"/>
      <c r="H128" s="113" t="s"/>
    </row>
    <row r="129" spans="1:8">
      <c r="A129" s="113" t="s"/>
      <c r="B129" s="113" t="s"/>
      <c r="C129" s="141" t="s"/>
      <c r="D129" s="113" t="s"/>
      <c r="E129" s="113" t="s"/>
      <c r="F129" s="142" t="s"/>
      <c r="G129" s="113" t="s"/>
      <c r="H129" s="113" t="s"/>
    </row>
    <row r="130" spans="1:8">
      <c r="A130" s="113" t="s"/>
      <c r="B130" s="113" t="s"/>
      <c r="C130" s="141" t="s"/>
      <c r="D130" s="113" t="s"/>
      <c r="E130" s="113" t="s"/>
      <c r="F130" s="142" t="s"/>
      <c r="G130" s="113" t="s"/>
      <c r="H130" s="113" t="s"/>
    </row>
    <row r="131" spans="1:8">
      <c r="A131" s="113" t="s"/>
      <c r="B131" s="113" t="s"/>
      <c r="C131" s="141" t="s"/>
      <c r="D131" s="113" t="s"/>
      <c r="E131" s="113" t="s"/>
      <c r="F131" s="142" t="s"/>
      <c r="G131" s="113" t="s"/>
      <c r="H131" s="113" t="s"/>
    </row>
    <row r="132" spans="1:8">
      <c r="A132" s="113" t="s"/>
      <c r="B132" s="113" t="s"/>
      <c r="C132" s="141" t="s"/>
      <c r="D132" s="113" t="s"/>
      <c r="E132" s="113" t="s"/>
      <c r="F132" s="142" t="s"/>
      <c r="G132" s="113" t="s"/>
      <c r="H132" s="113" t="s"/>
    </row>
    <row r="133" spans="1:8">
      <c r="A133" s="113" t="s"/>
      <c r="B133" s="113" t="s"/>
      <c r="C133" s="141" t="s"/>
      <c r="D133" s="113" t="s"/>
      <c r="E133" s="113" t="s"/>
      <c r="F133" s="142" t="s"/>
      <c r="G133" s="113" t="s"/>
      <c r="H133" s="113" t="s"/>
    </row>
    <row r="134" spans="1:8">
      <c r="A134" s="113" t="s"/>
      <c r="B134" s="113" t="s"/>
      <c r="C134" s="141" t="s"/>
      <c r="D134" s="113" t="s"/>
      <c r="E134" s="113" t="s"/>
      <c r="F134" s="142" t="s"/>
      <c r="G134" s="113" t="s"/>
      <c r="H134" s="113" t="s"/>
    </row>
    <row r="135" spans="1:8">
      <c r="A135" s="113" t="s"/>
      <c r="B135" s="113" t="s"/>
      <c r="C135" s="141" t="s"/>
      <c r="D135" s="113" t="s"/>
      <c r="E135" s="113" t="s"/>
      <c r="F135" s="142" t="s"/>
      <c r="G135" s="113" t="s"/>
      <c r="H135" s="113" t="s"/>
    </row>
    <row r="136" spans="1:8">
      <c r="A136" s="113" t="s"/>
      <c r="B136" s="113" t="s"/>
      <c r="C136" s="141" t="s"/>
      <c r="D136" s="113" t="s"/>
      <c r="E136" s="113" t="s"/>
      <c r="F136" s="142" t="s"/>
      <c r="G136" s="113" t="s"/>
      <c r="H136" s="113" t="s"/>
    </row>
    <row r="137" spans="1:8">
      <c r="A137" s="113" t="s"/>
      <c r="B137" s="113" t="s"/>
      <c r="C137" s="141" t="s"/>
      <c r="D137" s="113" t="s"/>
      <c r="E137" s="113" t="s"/>
      <c r="F137" s="142" t="s"/>
      <c r="G137" s="113" t="s"/>
      <c r="H137" s="113" t="s"/>
    </row>
    <row r="138" spans="6:7">
      <c r="F138" s="137" t="s"/>
      <c r="G138" s="113" t="s"/>
    </row>
    <row r="139" spans="6:7">
      <c r="F139" s="137" t="s"/>
      <c r="G139" s="113" t="s"/>
    </row>
    <row r="140" spans="6:7">
      <c r="F140" s="137" t="s"/>
      <c r="G140" s="113" t="s"/>
    </row>
    <row r="141" spans="6:7">
      <c r="F141" s="137" t="s"/>
      <c r="G141" s="113" t="s"/>
    </row>
    <row r="142" spans="6:7">
      <c r="F142" s="137" t="s"/>
      <c r="G142" s="113" t="s"/>
    </row>
    <row r="143" spans="6:7">
      <c r="F143" s="137" t="s"/>
      <c r="G143" s="113" t="s"/>
    </row>
    <row r="144" spans="6:7">
      <c r="F144" s="137" t="s"/>
      <c r="G144" s="113" t="s"/>
    </row>
    <row r="145" spans="6:7">
      <c r="F145" s="137" t="s"/>
      <c r="G145" s="113" t="s"/>
    </row>
    <row r="146" spans="6:7">
      <c r="F146" s="137" t="s"/>
      <c r="G146" s="113" t="s"/>
    </row>
    <row r="147" spans="6:7">
      <c r="F147" s="137" t="s"/>
      <c r="G147" s="113" t="s"/>
    </row>
    <row r="148" spans="6:7">
      <c r="F148" s="137" t="s"/>
      <c r="G148" s="113" t="s"/>
    </row>
    <row r="149" spans="6:7">
      <c r="F149" s="137" t="s"/>
      <c r="G149" s="113" t="s"/>
    </row>
    <row r="150" spans="6:7">
      <c r="F150" s="137" t="s"/>
      <c r="G150" s="113" t="s"/>
    </row>
    <row r="151" spans="6:7">
      <c r="F151" s="137" t="s"/>
      <c r="G151" s="113" t="s"/>
    </row>
    <row r="152" spans="6:7">
      <c r="F152" s="137" t="s"/>
      <c r="G152" s="113" t="s"/>
    </row>
    <row r="153" spans="6:7">
      <c r="F153" s="137" t="s"/>
      <c r="G153" s="113" t="s"/>
    </row>
    <row r="154" spans="6:7">
      <c r="F154" s="137" t="s"/>
      <c r="G154" s="113" t="s"/>
    </row>
    <row r="155" spans="6:7">
      <c r="F155" s="137" t="s"/>
      <c r="G155" s="113" t="s"/>
    </row>
    <row r="156" spans="6:7">
      <c r="F156" s="137" t="s"/>
      <c r="G156" s="113" t="s"/>
    </row>
    <row r="157" spans="6:7">
      <c r="F157" s="137" t="s"/>
      <c r="G157" s="113" t="s"/>
    </row>
    <row r="158" spans="6:7">
      <c r="F158" s="137" t="s"/>
      <c r="G158" s="113" t="s"/>
    </row>
    <row r="159" spans="6:7">
      <c r="F159" s="137" t="s"/>
      <c r="G159" s="113" t="s"/>
    </row>
    <row r="160" spans="6:7">
      <c r="F160" s="137" t="s"/>
      <c r="G160" s="113" t="s"/>
    </row>
    <row r="161" spans="6:7">
      <c r="F161" s="137" t="s"/>
      <c r="G161" s="113" t="s"/>
    </row>
    <row r="162" spans="6:7">
      <c r="F162" s="137" t="s"/>
      <c r="G162" s="113" t="s"/>
    </row>
    <row r="163" spans="6:7">
      <c r="F163" s="137" t="s"/>
      <c r="G163" s="113" t="s"/>
    </row>
    <row r="164" spans="6:7">
      <c r="F164" s="137" t="s"/>
      <c r="G164" s="113" t="s"/>
    </row>
    <row r="165" spans="6:7">
      <c r="F165" s="137" t="s"/>
      <c r="G165" s="113" t="s"/>
    </row>
    <row r="166" spans="6:7">
      <c r="F166" s="137" t="s"/>
      <c r="G166" s="113" t="s"/>
    </row>
    <row r="167" spans="6:7">
      <c r="F167" s="137" t="s"/>
      <c r="G167" s="113" t="s"/>
    </row>
    <row r="168" spans="6:7">
      <c r="F168" s="137" t="s"/>
      <c r="G168" s="113" t="s"/>
    </row>
    <row r="169" spans="6:7">
      <c r="F169" s="137" t="s"/>
      <c r="G169" s="113" t="s"/>
    </row>
    <row r="170" spans="6:7">
      <c r="F170" s="137" t="s"/>
      <c r="G170" s="113" t="s"/>
    </row>
    <row r="171" spans="6:7">
      <c r="F171" s="137" t="s"/>
      <c r="G171" s="113" t="s"/>
    </row>
    <row r="172" spans="6:7">
      <c r="F172" s="137" t="s"/>
      <c r="G172" s="113" t="s"/>
    </row>
    <row r="173" spans="6:7">
      <c r="F173" s="137" t="s"/>
      <c r="G173" s="113" t="s"/>
    </row>
    <row r="174" spans="6:7">
      <c r="F174" s="137" t="s"/>
      <c r="G174" s="113" t="s"/>
    </row>
    <row r="175" spans="6:7">
      <c r="F175" s="137" t="s"/>
      <c r="G175" s="113" t="s"/>
    </row>
    <row r="176" spans="6:7">
      <c r="F176" s="137" t="s"/>
      <c r="G176" s="113" t="s"/>
    </row>
    <row r="177" spans="6:7">
      <c r="F177" s="137" t="s"/>
      <c r="G177" s="113" t="s"/>
    </row>
    <row r="178" spans="6:7">
      <c r="F178" s="137" t="s"/>
      <c r="G178" s="113" t="s"/>
    </row>
    <row r="179" spans="6:7">
      <c r="F179" s="137" t="s"/>
      <c r="G179" s="113" t="s"/>
    </row>
    <row r="180" spans="6:7">
      <c r="F180" s="137" t="s"/>
      <c r="G180" s="113" t="s"/>
    </row>
    <row r="181" spans="6:7">
      <c r="F181" s="137" t="s"/>
      <c r="G181" s="113" t="s"/>
    </row>
    <row r="182" spans="6:7">
      <c r="F182" s="137" t="s"/>
      <c r="G182" s="113" t="s"/>
    </row>
    <row r="183" spans="6:7">
      <c r="F183" s="137" t="s"/>
      <c r="G183" s="113" t="s"/>
    </row>
    <row r="184" spans="6:7">
      <c r="F184" s="137" t="s"/>
      <c r="G184" s="113" t="s"/>
    </row>
    <row r="185" spans="6:7">
      <c r="F185" s="137" t="s"/>
      <c r="G185" s="113" t="s"/>
    </row>
    <row r="186" spans="6:7">
      <c r="F186" s="137" t="s"/>
      <c r="G186" s="113" t="s"/>
    </row>
    <row r="187" spans="6:7">
      <c r="F187" s="137" t="s"/>
      <c r="G187" s="113" t="s"/>
    </row>
    <row r="188" spans="6:7">
      <c r="F188" s="137" t="s"/>
      <c r="G188" s="113" t="s"/>
    </row>
    <row r="189" spans="6:7">
      <c r="F189" s="137" t="s"/>
      <c r="G189" s="113" t="s"/>
    </row>
    <row r="190" spans="6:7">
      <c r="F190" s="137" t="s"/>
      <c r="G190" s="113" t="s"/>
    </row>
    <row r="191" spans="6:7">
      <c r="F191" s="137" t="s"/>
      <c r="G191" s="113" t="s"/>
    </row>
    <row r="192" spans="6:7">
      <c r="F192" s="137" t="s"/>
      <c r="G192" s="113" t="s"/>
    </row>
    <row r="193" spans="6:7">
      <c r="F193" s="137" t="s"/>
      <c r="G193" s="113" t="s"/>
    </row>
    <row r="194" spans="6:7">
      <c r="F194" s="137" t="s"/>
      <c r="G194" s="113" t="s"/>
    </row>
    <row r="195" spans="6:7">
      <c r="F195" s="137" t="s"/>
      <c r="G195" s="113" t="s"/>
    </row>
    <row r="196" spans="6:7">
      <c r="F196" s="137" t="s"/>
      <c r="G196" s="113" t="s"/>
    </row>
    <row r="197" spans="6:7">
      <c r="F197" s="137" t="s"/>
      <c r="G197" s="113" t="s"/>
    </row>
    <row r="198" spans="6:7">
      <c r="F198" s="137" t="s"/>
      <c r="G198" s="113" t="s"/>
    </row>
    <row r="199" spans="6:7">
      <c r="F199" s="137" t="s"/>
      <c r="G199" s="113" t="s"/>
    </row>
    <row r="200" spans="6:7">
      <c r="F200" s="137" t="s"/>
      <c r="G200" s="113" t="s"/>
    </row>
    <row r="201" spans="6:7">
      <c r="F201" s="137" t="s"/>
      <c r="G201" s="113" t="s"/>
    </row>
    <row r="202" spans="6:7">
      <c r="F202" s="137" t="s"/>
      <c r="G202" s="113" t="s"/>
    </row>
    <row r="203" spans="6:7">
      <c r="F203" s="137" t="s"/>
      <c r="G203" s="113" t="s"/>
    </row>
    <row r="204" spans="6:7">
      <c r="F204" s="137" t="s"/>
      <c r="G204" s="113" t="s"/>
    </row>
    <row r="205" spans="6:7">
      <c r="F205" s="137" t="s"/>
      <c r="G205" s="113" t="s"/>
    </row>
    <row r="206" spans="6:7">
      <c r="F206" s="137" t="s"/>
      <c r="G206" s="113" t="s"/>
    </row>
    <row r="207" spans="6:7">
      <c r="F207" s="137" t="s"/>
      <c r="G207" s="113" t="s"/>
    </row>
    <row r="208" spans="6:7">
      <c r="F208" s="137" t="s"/>
      <c r="G208" s="113" t="s"/>
    </row>
    <row r="209" spans="6:7">
      <c r="F209" s="137" t="s"/>
      <c r="G209" s="113" t="s"/>
    </row>
    <row r="210" spans="6:7">
      <c r="F210" s="137" t="s"/>
      <c r="G210" s="113" t="s"/>
    </row>
    <row r="211" spans="6:7">
      <c r="F211" s="137" t="s"/>
      <c r="G211" s="113" t="s"/>
    </row>
    <row r="212" spans="6:7">
      <c r="F212" s="137" t="s"/>
      <c r="G212" s="113" t="s"/>
    </row>
    <row r="213" spans="6:7">
      <c r="F213" s="137" t="s"/>
      <c r="G213" s="113" t="s"/>
    </row>
    <row r="214" spans="6:7">
      <c r="F214" s="137" t="s"/>
      <c r="G214" s="113" t="s"/>
    </row>
    <row r="215" spans="6:7">
      <c r="F215" s="137" t="s"/>
      <c r="G215" s="113" t="s"/>
    </row>
    <row r="216" spans="6:7">
      <c r="F216" s="137" t="s"/>
      <c r="G216" s="113" t="s"/>
    </row>
    <row r="217" spans="6:7">
      <c r="F217" s="137" t="s"/>
      <c r="G217" s="113" t="s"/>
    </row>
    <row r="218" spans="6:7">
      <c r="F218" s="137" t="s"/>
      <c r="G218" s="113" t="s"/>
    </row>
    <row r="219" spans="6:7">
      <c r="F219" s="137" t="s"/>
      <c r="G219" s="113" t="s"/>
    </row>
    <row r="220" spans="6:7">
      <c r="F220" s="137" t="s"/>
      <c r="G220" s="113" t="s"/>
    </row>
    <row r="221" spans="6:7">
      <c r="F221" s="137" t="s"/>
      <c r="G221" s="113" t="s"/>
    </row>
    <row r="222" spans="6:7">
      <c r="F222" s="137" t="s"/>
      <c r="G222" s="113" t="s"/>
    </row>
    <row r="223" spans="6:7">
      <c r="F223" s="137" t="s"/>
      <c r="G223" s="113" t="s"/>
    </row>
    <row r="224" spans="6:7">
      <c r="F224" s="137" t="s"/>
      <c r="G224" s="113" t="s"/>
    </row>
    <row r="225" spans="6:7">
      <c r="F225" s="137" t="s"/>
      <c r="G225" s="113" t="s"/>
    </row>
    <row r="226" spans="6:7">
      <c r="F226" s="137" t="s"/>
      <c r="G226" s="113" t="s"/>
    </row>
    <row r="227" spans="6:7">
      <c r="F227" s="137" t="s"/>
      <c r="G227" s="113" t="s"/>
    </row>
    <row r="228" spans="6:7">
      <c r="F228" s="137" t="s"/>
      <c r="G228" s="113" t="s"/>
    </row>
    <row r="229" spans="6:7">
      <c r="F229" s="137" t="s"/>
      <c r="G229" s="113" t="s"/>
    </row>
    <row r="230" spans="6:7">
      <c r="F230" s="137" t="s"/>
      <c r="G230" s="113" t="s"/>
    </row>
    <row r="231" spans="6:7">
      <c r="F231" s="137" t="s"/>
      <c r="G231" s="113" t="s"/>
    </row>
    <row r="232" spans="6:7">
      <c r="F232" s="137" t="s"/>
      <c r="G232" s="113" t="s"/>
    </row>
    <row r="233" spans="6:7">
      <c r="F233" s="137" t="s"/>
      <c r="G233" s="113" t="s"/>
    </row>
    <row r="234" spans="6:7">
      <c r="F234" s="137" t="s"/>
      <c r="G234" s="113" t="s"/>
    </row>
    <row r="235" spans="6:7">
      <c r="F235" s="137" t="s"/>
      <c r="G235" s="113" t="s"/>
    </row>
    <row r="236" spans="6:7">
      <c r="F236" s="137" t="s"/>
      <c r="G236" s="113" t="s"/>
    </row>
    <row r="237" spans="6:7">
      <c r="F237" s="137" t="s"/>
      <c r="G237" s="113" t="s"/>
    </row>
    <row r="238" spans="6:7">
      <c r="F238" s="137" t="s"/>
      <c r="G238" s="113" t="s"/>
    </row>
    <row r="239" spans="6:7">
      <c r="F239" s="137" t="s"/>
      <c r="G239" s="113" t="s"/>
    </row>
    <row r="240" spans="6:7">
      <c r="F240" s="137" t="s"/>
      <c r="G240" s="113" t="s"/>
    </row>
    <row r="241" spans="6:7">
      <c r="F241" s="137" t="s"/>
      <c r="G241" s="113" t="s"/>
    </row>
    <row r="242" spans="6:7">
      <c r="F242" s="137" t="s"/>
      <c r="G242" s="113" t="s"/>
    </row>
  </sheetData>
  <mergeCells count="113">
    <mergeCell ref="B21:B22"/>
    <mergeCell ref="B41:B42"/>
    <mergeCell ref="B45:B46"/>
    <mergeCell ref="B49:B50"/>
    <mergeCell ref="B51:B52"/>
    <mergeCell ref="B53:B54"/>
    <mergeCell ref="B55:B56"/>
    <mergeCell ref="B63:B64"/>
    <mergeCell ref="B65:B66"/>
    <mergeCell ref="B67:B68"/>
    <mergeCell ref="B39:B40"/>
    <mergeCell ref="B23:B24"/>
    <mergeCell ref="B37:B38"/>
    <mergeCell ref="A2:B2"/>
    <mergeCell ref="B86:B87"/>
    <mergeCell ref="B88:B89"/>
    <mergeCell ref="A101:B101"/>
    <mergeCell ref="B104:B105"/>
    <mergeCell ref="B112:B113"/>
    <mergeCell ref="B110:B111"/>
    <mergeCell ref="B108:B109"/>
    <mergeCell ref="B106:B107"/>
    <mergeCell ref="B102:B103"/>
    <mergeCell ref="A102:A113"/>
    <mergeCell ref="B10:B12"/>
    <mergeCell ref="B13:B14"/>
    <mergeCell ref="B15:B16"/>
    <mergeCell ref="B17:B18"/>
    <mergeCell ref="B19:B20"/>
    <mergeCell ref="B47:B48"/>
    <mergeCell ref="B33:B34"/>
    <mergeCell ref="B35:B36"/>
    <mergeCell ref="B78:B79"/>
    <mergeCell ref="A91:A92"/>
    <mergeCell ref="A94:A95"/>
    <mergeCell ref="A118:A121"/>
    <mergeCell ref="A114:A117"/>
    <mergeCell ref="B7:B9"/>
    <mergeCell ref="B61:B62"/>
    <mergeCell ref="B118:B119"/>
    <mergeCell ref="B120:B121"/>
    <mergeCell ref="B114:B115"/>
    <mergeCell ref="B116:B117"/>
    <mergeCell ref="B76:B77"/>
    <mergeCell ref="B72:B73"/>
    <mergeCell ref="B74:B75"/>
    <mergeCell ref="B29:B30"/>
    <mergeCell ref="B31:B32"/>
    <mergeCell ref="B25:B26"/>
    <mergeCell ref="B27:B28"/>
    <mergeCell ref="B59:B60"/>
    <mergeCell ref="B84:B85"/>
    <mergeCell ref="A84:A89"/>
    <mergeCell ref="B70:B71"/>
    <mergeCell ref="A70:A71"/>
    <mergeCell ref="B80:B81"/>
    <mergeCell ref="B82:B83"/>
    <mergeCell ref="A72:A83"/>
    <mergeCell ref="A25:A69"/>
    <mergeCell ref="B43:B44"/>
    <mergeCell ref="I70:I71"/>
    <mergeCell ref="I72:I75"/>
    <mergeCell ref="I29:I32"/>
    <mergeCell ref="I25:I28"/>
    <mergeCell ref="I59:I60"/>
    <mergeCell ref="I84:I85"/>
    <mergeCell ref="I80:I83"/>
    <mergeCell ref="I43:I44"/>
    <mergeCell ref="B5:B6"/>
    <mergeCell ref="I5:I6"/>
    <mergeCell ref="J5:J6"/>
    <mergeCell ref="A100:H100"/>
    <mergeCell ref="A1:I1"/>
    <mergeCell ref="A123:H123"/>
    <mergeCell ref="C102:C121"/>
    <mergeCell ref="C5:C6"/>
    <mergeCell ref="C7:C9"/>
    <mergeCell ref="C10:C12"/>
    <mergeCell ref="C72:C75"/>
    <mergeCell ref="C76:C79"/>
    <mergeCell ref="C80:C83"/>
    <mergeCell ref="C15:C16"/>
    <mergeCell ref="C13:C14"/>
    <mergeCell ref="C86:C87"/>
    <mergeCell ref="C88:C89"/>
    <mergeCell ref="C17:C18"/>
    <mergeCell ref="C19:C20"/>
    <mergeCell ref="C37:C38"/>
    <mergeCell ref="C21:C22"/>
    <mergeCell ref="C23:C24"/>
    <mergeCell ref="C63:C64"/>
    <mergeCell ref="C67:C68"/>
    <mergeCell ref="C65:C66"/>
    <mergeCell ref="C41:C42"/>
    <mergeCell ref="C49:C50"/>
    <mergeCell ref="C45:C46"/>
    <mergeCell ref="C53:C54"/>
    <mergeCell ref="C55:C56"/>
    <mergeCell ref="C51:C52"/>
    <mergeCell ref="C39:C40"/>
    <mergeCell ref="C33:C36"/>
    <mergeCell ref="C84:C85"/>
    <mergeCell ref="C70:C71"/>
    <mergeCell ref="C29:C32"/>
    <mergeCell ref="C25:C28"/>
    <mergeCell ref="C43:C44"/>
    <mergeCell ref="C61:C62"/>
    <mergeCell ref="C47:C48"/>
    <mergeCell ref="C59:C60"/>
    <mergeCell ref="C3:C4"/>
    <mergeCell ref="B3:B4"/>
    <mergeCell ref="A3:A24"/>
    <mergeCell ref="I3:I4"/>
  </mergeCells>
  <dataValidations>
    <dataValidation type="list" errorStyle="stop" allowBlank="1" showDropDown="0" showInputMessage="1" showErrorMessage="1" prompt="" sqref="F3:F1048576">
      <formula1>"90%,80%,75%,70%,40%,25%,100%,"</formula1>
    </dataValidation>
  </dataValidations>
  <hyperlinks>
    <hyperlink ref="A123" r:id="rId0"/>
  </hyperlinks>
</worksheet>
</file>

<file path=xl/worksheets/sheet2.xml><?xml version="1.0" encoding="utf-8"?>
<worksheet xmlns="http://schemas.openxmlformats.org/spreadsheetml/2006/main">
  <sheetPr codeName="token量包">
    <tabColor/>
  </sheetPr>
  <dimension ref="H18"/>
  <sheetViews>
    <sheetView showGridLines="1" workbookViewId="0"/>
  </sheetViews>
  <sheetFormatPr baseColWidth="13" defaultRowHeight="18" customHeight="1"/>
  <cols>
    <col min="1" max="1" width="26.4414" customWidth="1"/>
    <col min="2" max="2" width="20.2344" customWidth="1"/>
    <col min="3" max="3" width="25.6328" customWidth="1"/>
    <col min="4" max="4" width="20.7734" customWidth="1"/>
    <col min="5" max="5" width="24.2812" customWidth="1"/>
    <col min="6" max="6" width="18.7539" customWidth="1"/>
    <col min="7" max="7" width="22.8008" customWidth="1"/>
  </cols>
  <sheetData>
    <row r="1" spans="1:8" ht="27.75" customHeight="1">
      <c r="A1" s="143" t="s">
        <v>108</v>
      </c>
      <c r="B1" s="144" t="s"/>
      <c r="C1" s="143" t="s"/>
      <c r="D1" s="144" t="s"/>
      <c r="E1" s="144" t="s"/>
      <c r="F1" s="145" t="s"/>
      <c r="G1" s="144" t="s"/>
      <c r="H1" s="144" t="s"/>
    </row>
    <row r="2" spans="1:8" ht="27.75" customHeight="1">
      <c r="A2" s="146" t="s">
        <v>2</v>
      </c>
      <c r="B2" s="147" t="s">
        <v>109</v>
      </c>
      <c r="C2" s="148" t="s">
        <v>3</v>
      </c>
      <c r="D2" s="148" t="s">
        <v>110</v>
      </c>
      <c r="E2" s="16" t="s">
        <v>5</v>
      </c>
      <c r="F2" s="16" t="s">
        <v>6</v>
      </c>
      <c r="G2" s="16" t="s">
        <v>7</v>
      </c>
      <c r="H2" s="16" t="s">
        <v>8</v>
      </c>
    </row>
    <row r="3" spans="1:8">
      <c r="A3" s="149" t="s">
        <v>111</v>
      </c>
      <c r="B3" s="18" t="s">
        <v>112</v>
      </c>
      <c r="C3" s="18" t="s">
        <v>113</v>
      </c>
      <c r="D3" s="18" t="s">
        <v>114</v>
      </c>
      <c r="E3" s="18">
        <v>39.9</v>
      </c>
      <c r="F3" s="21">
        <v>0.95</v>
      </c>
      <c r="G3" s="18">
        <f>=E3*F3</f>
        <v>37.905</v>
      </c>
      <c r="H3" s="18" t="s">
        <v>115</v>
      </c>
    </row>
    <row r="4" spans="1:8">
      <c r="A4" s="63" t="s"/>
      <c r="B4" s="18" t="s">
        <v>116</v>
      </c>
      <c r="C4" s="18" t="s">
        <v>117</v>
      </c>
      <c r="D4" s="18" t="s">
        <v>114</v>
      </c>
      <c r="E4" s="18">
        <v>159.9</v>
      </c>
      <c r="F4" s="21">
        <v>0.95</v>
      </c>
      <c r="G4" s="18">
        <f>=E4*F4</f>
        <v>151.905</v>
      </c>
      <c r="H4" s="18" t="s">
        <v>115</v>
      </c>
    </row>
    <row r="5" spans="1:8">
      <c r="A5" s="32" t="s"/>
      <c r="B5" s="18" t="s">
        <v>118</v>
      </c>
      <c r="C5" s="18" t="s">
        <v>119</v>
      </c>
      <c r="D5" s="18" t="s">
        <v>114</v>
      </c>
      <c r="E5" s="18">
        <v>299.9</v>
      </c>
      <c r="F5" s="21">
        <v>0.95</v>
      </c>
      <c r="G5" s="18">
        <f>=E5*F5</f>
        <v>284.905</v>
      </c>
      <c r="H5" s="18" t="s">
        <v>115</v>
      </c>
    </row>
    <row r="6" spans="1:8">
      <c r="A6" s="150" t="s">
        <v>16</v>
      </c>
      <c r="B6" s="18" t="s">
        <v>120</v>
      </c>
      <c r="C6" s="18" t="s">
        <v>121</v>
      </c>
      <c r="D6" s="18" t="s">
        <v>114</v>
      </c>
      <c r="E6" s="18">
        <v>9.9</v>
      </c>
      <c r="F6" s="151">
        <v>0.95</v>
      </c>
      <c r="G6" s="18">
        <f>=E6*F6</f>
        <v>9.405</v>
      </c>
      <c r="H6" s="18" t="s">
        <v>115</v>
      </c>
    </row>
    <row r="7" spans="1:8">
      <c r="A7" s="152" t="s"/>
      <c r="B7" s="18" t="s">
        <v>122</v>
      </c>
      <c r="C7" s="18" t="s">
        <v>123</v>
      </c>
      <c r="D7" s="18" t="s">
        <v>114</v>
      </c>
      <c r="E7" s="18">
        <v>29.9</v>
      </c>
      <c r="F7" s="21">
        <v>0.95</v>
      </c>
      <c r="G7" s="18">
        <f>=E7*F7</f>
        <v>28.405</v>
      </c>
      <c r="H7" s="18" t="s">
        <v>115</v>
      </c>
    </row>
    <row r="8" spans="1:8">
      <c r="A8" s="152" t="s"/>
      <c r="B8" s="18" t="s">
        <v>124</v>
      </c>
      <c r="C8" s="18" t="s">
        <v>125</v>
      </c>
      <c r="D8" s="18" t="s">
        <v>114</v>
      </c>
      <c r="E8" s="18">
        <v>49.9</v>
      </c>
      <c r="F8" s="21">
        <v>0.95</v>
      </c>
      <c r="G8" s="18">
        <f>=E8*F8</f>
        <v>47.405</v>
      </c>
      <c r="H8" s="18" t="s">
        <v>115</v>
      </c>
    </row>
    <row r="9" spans="1:8">
      <c r="A9" s="150" t="s">
        <v>126</v>
      </c>
      <c r="B9" s="18" t="s">
        <v>120</v>
      </c>
      <c r="C9" s="132" t="s">
        <v>127</v>
      </c>
      <c r="D9" s="132" t="s">
        <v>114</v>
      </c>
      <c r="E9" s="18">
        <v>70</v>
      </c>
      <c r="F9" s="21">
        <v>0.25</v>
      </c>
      <c r="G9" s="18">
        <f>=E9*F9</f>
        <v>17.5</v>
      </c>
      <c r="H9" s="18" t="s">
        <v>115</v>
      </c>
    </row>
    <row r="10" spans="1:8">
      <c r="A10" s="152" t="s"/>
      <c r="B10" s="18" t="s">
        <v>128</v>
      </c>
      <c r="C10" s="132" t="s">
        <v>129</v>
      </c>
      <c r="D10" s="132" t="s">
        <v>130</v>
      </c>
      <c r="E10" s="18">
        <v>350</v>
      </c>
      <c r="F10" s="21">
        <v>0.25</v>
      </c>
      <c r="G10" s="18">
        <f>=E10*F10</f>
        <v>87.5</v>
      </c>
      <c r="H10" s="18" t="s">
        <v>115</v>
      </c>
    </row>
    <row r="11" spans="1:8">
      <c r="A11" s="152" t="s"/>
      <c r="B11" s="18" t="s">
        <v>131</v>
      </c>
      <c r="C11" s="132" t="s">
        <v>132</v>
      </c>
      <c r="D11" s="132" t="s">
        <v>133</v>
      </c>
      <c r="E11" s="18">
        <v>700</v>
      </c>
      <c r="F11" s="21">
        <v>0.25</v>
      </c>
      <c r="G11" s="18">
        <f>=E11*F11</f>
        <v>175</v>
      </c>
      <c r="H11" s="18" t="s">
        <v>115</v>
      </c>
    </row>
    <row r="12" spans="1:8">
      <c r="A12" s="152" t="s"/>
      <c r="B12" s="18" t="s">
        <v>134</v>
      </c>
      <c r="C12" s="132" t="s">
        <v>135</v>
      </c>
      <c r="D12" s="132" t="s">
        <v>136</v>
      </c>
      <c r="E12" s="18">
        <v>3500</v>
      </c>
      <c r="F12" s="21">
        <v>0.25</v>
      </c>
      <c r="G12" s="18">
        <f>=E12*F12</f>
        <v>875</v>
      </c>
      <c r="H12" s="18" t="s">
        <v>115</v>
      </c>
    </row>
    <row r="13" spans="1:8">
      <c r="A13" s="152" t="s"/>
      <c r="B13" s="18" t="s">
        <v>137</v>
      </c>
      <c r="C13" s="132" t="s">
        <v>138</v>
      </c>
      <c r="D13" s="132" t="s">
        <v>136</v>
      </c>
      <c r="E13" s="18">
        <v>7000</v>
      </c>
      <c r="F13" s="21">
        <v>0.25</v>
      </c>
      <c r="G13" s="18">
        <f>=E13*F13</f>
        <v>1750</v>
      </c>
      <c r="H13" s="18" t="s">
        <v>115</v>
      </c>
    </row>
    <row r="14" spans="1:8">
      <c r="A14" s="150" t="s">
        <v>139</v>
      </c>
      <c r="B14" s="18" t="s">
        <v>120</v>
      </c>
      <c r="C14" s="132" t="s">
        <v>140</v>
      </c>
      <c r="D14" s="132" t="s">
        <v>114</v>
      </c>
      <c r="E14" s="18">
        <v>35</v>
      </c>
      <c r="F14" s="21">
        <v>0.25</v>
      </c>
      <c r="G14" s="18">
        <f>=E14*F14</f>
        <v>8.75</v>
      </c>
      <c r="H14" s="18" t="s">
        <v>115</v>
      </c>
    </row>
    <row r="15" spans="1:8">
      <c r="A15" s="152" t="s"/>
      <c r="B15" s="18" t="s">
        <v>128</v>
      </c>
      <c r="C15" s="132" t="s">
        <v>141</v>
      </c>
      <c r="D15" s="132" t="s">
        <v>130</v>
      </c>
      <c r="E15" s="18">
        <v>175</v>
      </c>
      <c r="F15" s="21">
        <v>0.25</v>
      </c>
      <c r="G15" s="18">
        <f>=E15*F15</f>
        <v>43.75</v>
      </c>
      <c r="H15" s="18" t="s">
        <v>115</v>
      </c>
    </row>
    <row r="16" spans="1:8">
      <c r="A16" s="152" t="s"/>
      <c r="B16" s="18" t="s">
        <v>131</v>
      </c>
      <c r="C16" s="132" t="s">
        <v>142</v>
      </c>
      <c r="D16" s="132" t="s">
        <v>133</v>
      </c>
      <c r="E16" s="18">
        <v>350</v>
      </c>
      <c r="F16" s="21">
        <v>0.25</v>
      </c>
      <c r="G16" s="18">
        <f>=E16*F16</f>
        <v>87.5</v>
      </c>
      <c r="H16" s="18" t="s">
        <v>115</v>
      </c>
    </row>
    <row r="17" spans="1:8">
      <c r="A17" s="90" t="s"/>
      <c r="B17" s="18" t="s">
        <v>134</v>
      </c>
      <c r="C17" s="153" t="s">
        <v>143</v>
      </c>
      <c r="D17" s="153" t="s">
        <v>136</v>
      </c>
      <c r="E17" s="18">
        <v>1750</v>
      </c>
      <c r="F17" s="21">
        <v>0.25</v>
      </c>
      <c r="G17" s="18">
        <f>=E17*F17</f>
        <v>437.5</v>
      </c>
      <c r="H17" s="18" t="s">
        <v>115</v>
      </c>
    </row>
    <row r="18" spans="1:8">
      <c r="A18" s="152" t="s"/>
      <c r="B18" s="18" t="s">
        <v>137</v>
      </c>
      <c r="C18" s="153" t="s">
        <v>144</v>
      </c>
      <c r="D18" s="153" t="s">
        <v>136</v>
      </c>
      <c r="E18" s="18">
        <v>3500</v>
      </c>
      <c r="F18" s="21">
        <v>0.25</v>
      </c>
      <c r="G18" s="18">
        <f>=E18*F18</f>
        <v>875</v>
      </c>
      <c r="H18" s="18" t="s">
        <v>115</v>
      </c>
    </row>
  </sheetData>
  <mergeCells count="5">
    <mergeCell ref="A6:A8"/>
    <mergeCell ref="A9:A13"/>
    <mergeCell ref="A14:A18"/>
    <mergeCell ref="A3:A5"/>
    <mergeCell ref="A1:H1"/>
  </mergeCells>
  <dataValidations>
    <dataValidation type="list" errorStyle="stop" allowBlank="1" showDropDown="0" showInputMessage="1" showErrorMessage="1" prompt="" sqref="F3:F8">
      <formula1>"95%,"</formula1>
    </dataValidation>
    <dataValidation type="list" errorStyle="stop" allowBlank="1" showDropDown="0" showInputMessage="1" showErrorMessage="1" prompt="" sqref="F9:F18">
      <formula1>"25%,"</formula1>
    </dataValidation>
  </dataValidations>
</worksheet>
</file>

<file path=xl/worksheets/sheet3.xml><?xml version="1.0" encoding="utf-8"?>
<worksheet xmlns="http://schemas.openxmlformats.org/spreadsheetml/2006/main">
  <sheetPr codeName="Coding Plan套餐"/>
  <dimension ref="H5"/>
  <sheetViews>
    <sheetView showGridLines="1" workbookViewId="0"/>
  </sheetViews>
  <sheetFormatPr baseColWidth="13" defaultRowHeight="18" customHeight="1"/>
  <cols>
    <col min="1" max="1" width="17.9414" customWidth="1"/>
    <col min="2" max="2" width="17.9414" style="178" customWidth="1"/>
    <col min="3" max="3" width="22.8008" customWidth="1"/>
    <col min="4" max="4" width="12.4141" customWidth="1"/>
    <col min="5" max="5" width="17.6719" customWidth="1"/>
    <col min="6" max="6" width="26.3125" customWidth="1"/>
    <col min="7" max="7" width="32.2422" customWidth="1"/>
    <col min="8" max="8" width="31.1641" customWidth="1"/>
  </cols>
  <sheetData>
    <row r="1" spans="1:8" ht="30.75" customHeight="1">
      <c r="A1" s="143" t="s">
        <v>145</v>
      </c>
      <c r="B1" s="144" t="s"/>
      <c r="C1" s="143" t="s"/>
      <c r="D1" s="154" t="s"/>
      <c r="E1" s="154" t="s"/>
      <c r="F1" s="145" t="s"/>
      <c r="G1" s="144" t="s"/>
      <c r="H1" s="144" t="s"/>
    </row>
    <row r="2" spans="1:8" ht="30.75" customHeight="1">
      <c r="A2" s="155" t="s">
        <v>146</v>
      </c>
      <c r="B2" s="155" t="s">
        <v>3</v>
      </c>
      <c r="C2" s="156" t="s">
        <v>5</v>
      </c>
      <c r="D2" s="157" t="s">
        <v>8</v>
      </c>
      <c r="E2" s="157" t="s">
        <v>6</v>
      </c>
      <c r="F2" s="156" t="s">
        <v>7</v>
      </c>
      <c r="G2" s="155" t="s">
        <v>147</v>
      </c>
      <c r="H2" s="155" t="s">
        <v>148</v>
      </c>
    </row>
    <row r="3" spans="1:8" ht="73.5" customHeight="1">
      <c r="A3" s="123" t="s">
        <v>149</v>
      </c>
      <c r="B3" s="70" t="s">
        <v>150</v>
      </c>
      <c r="C3" s="46">
        <v>49</v>
      </c>
      <c r="D3" s="46" t="s">
        <v>151</v>
      </c>
      <c r="E3" s="158">
        <v>0.95</v>
      </c>
      <c r="F3" s="70">
        <f>=C3*E3</f>
        <v>46.55</v>
      </c>
      <c r="G3" s="159" t="s">
        <v>152</v>
      </c>
      <c r="H3" s="159" t="s">
        <v>153</v>
      </c>
    </row>
    <row r="4" spans="1:8" ht="68.25" customHeight="1">
      <c r="A4" s="123" t="s">
        <v>154</v>
      </c>
      <c r="B4" s="70" t="s">
        <v>155</v>
      </c>
      <c r="C4" s="46">
        <v>149</v>
      </c>
      <c r="D4" s="46" t="s">
        <v>151</v>
      </c>
      <c r="E4" s="158">
        <v>0.95</v>
      </c>
      <c r="F4" s="70">
        <f>=C4*E4</f>
        <v>141.55</v>
      </c>
      <c r="G4" s="159" t="s">
        <v>156</v>
      </c>
      <c r="H4" s="159" t="s">
        <v>157</v>
      </c>
    </row>
    <row r="5" spans="1:8" ht="72.75" customHeight="1">
      <c r="A5" s="123" t="s">
        <v>158</v>
      </c>
      <c r="B5" s="70" t="s">
        <v>159</v>
      </c>
      <c r="C5" s="46">
        <v>469</v>
      </c>
      <c r="D5" s="46" t="s">
        <v>151</v>
      </c>
      <c r="E5" s="158">
        <v>0.95</v>
      </c>
      <c r="F5" s="70">
        <f>=C5*E5</f>
        <v>445.55</v>
      </c>
      <c r="G5" s="159" t="s">
        <v>160</v>
      </c>
      <c r="H5" s="159" t="s">
        <v>157</v>
      </c>
    </row>
  </sheetData>
  <mergeCells count="1">
    <mergeCell ref="A1:H1"/>
  </mergeCells>
  <dataValidations>
    <dataValidation type="list" errorStyle="stop" allowBlank="1" showDropDown="0" showInputMessage="1" showErrorMessage="1" prompt="" sqref="E3:E5">
      <formula1>"95%,90%,"</formula1>
    </dataValidation>
  </dataValidations>
</worksheet>
</file>

<file path=xl/worksheets/sheet4.xml><?xml version="1.0" encoding="utf-8"?>
<worksheet xmlns="http://schemas.openxmlformats.org/spreadsheetml/2006/main">
  <sheetPr codeName="批量推理">
    <tabColor/>
  </sheetPr>
  <dimension ref="H13"/>
  <sheetViews>
    <sheetView showGridLines="1" workbookViewId="0"/>
  </sheetViews>
  <sheetFormatPr baseColWidth="13" defaultRowHeight="18" customHeight="1"/>
  <cols>
    <col min="2" max="2" width="27.5234" customWidth="1"/>
    <col min="3" max="3" width="26.3125" style="178" customWidth="1"/>
    <col min="4" max="4" width="29.4141" customWidth="1"/>
    <col min="5" max="5" width="16.5938" customWidth="1"/>
    <col min="8" max="8" width="21.582" customWidth="1"/>
  </cols>
  <sheetData>
    <row r="1" spans="1:8" ht="35.25" customHeight="1">
      <c r="A1" s="143" t="s">
        <v>161</v>
      </c>
      <c r="B1" s="152" t="s"/>
      <c r="C1" s="160" t="s"/>
      <c r="D1" s="152" t="s"/>
      <c r="E1" s="152" t="s"/>
      <c r="F1" s="145" t="s"/>
      <c r="G1" s="152" t="s"/>
      <c r="H1" s="152" t="s"/>
    </row>
    <row r="2" spans="1:8">
      <c r="A2" s="161" t="s">
        <v>2</v>
      </c>
      <c r="B2" s="162" t="s"/>
      <c r="C2" s="163" t="s">
        <v>3</v>
      </c>
      <c r="D2" s="164" t="s">
        <v>4</v>
      </c>
      <c r="E2" s="118" t="s">
        <v>5</v>
      </c>
      <c r="F2" s="14" t="s">
        <v>6</v>
      </c>
      <c r="G2" s="146" t="s">
        <v>7</v>
      </c>
      <c r="H2" s="120" t="s">
        <v>8</v>
      </c>
    </row>
    <row r="3" spans="1:8">
      <c r="A3" s="59" t="s">
        <v>10</v>
      </c>
      <c r="B3" s="17" t="s">
        <v>19</v>
      </c>
      <c r="C3" s="54" t="s">
        <v>162</v>
      </c>
      <c r="D3" s="18" t="s">
        <v>163</v>
      </c>
      <c r="E3" s="43">
        <v>1.6</v>
      </c>
      <c r="F3" s="21">
        <v>0.25</v>
      </c>
      <c r="G3" s="44">
        <f>=E3*F3</f>
        <v>0.4</v>
      </c>
      <c r="H3" s="133" t="s">
        <v>14</v>
      </c>
    </row>
    <row r="4" spans="1:8">
      <c r="A4" s="165" t="s"/>
      <c r="B4" s="17" t="s"/>
      <c r="C4" s="32" t="s"/>
      <c r="D4" s="18" t="s">
        <v>164</v>
      </c>
      <c r="E4" s="43">
        <v>6.4</v>
      </c>
      <c r="F4" s="21">
        <v>0.25</v>
      </c>
      <c r="G4" s="44">
        <f>=E4*F4</f>
        <v>1.6</v>
      </c>
      <c r="H4" s="133" t="s">
        <v>14</v>
      </c>
    </row>
    <row r="5" spans="1:8">
      <c r="A5" s="165" t="s"/>
      <c r="B5" s="59" t="s">
        <v>21</v>
      </c>
      <c r="C5" s="54" t="s">
        <v>162</v>
      </c>
      <c r="D5" s="18" t="s">
        <v>163</v>
      </c>
      <c r="E5" s="43">
        <v>1.6</v>
      </c>
      <c r="F5" s="21">
        <v>0.25</v>
      </c>
      <c r="G5" s="44">
        <f>=E5*F5</f>
        <v>0.4</v>
      </c>
      <c r="H5" s="133" t="s">
        <v>14</v>
      </c>
    </row>
    <row r="6" spans="1:8">
      <c r="A6" s="165" t="s"/>
      <c r="B6" s="166" t="s"/>
      <c r="C6" s="32" t="s"/>
      <c r="D6" s="18" t="s">
        <v>164</v>
      </c>
      <c r="E6" s="43">
        <v>6.4</v>
      </c>
      <c r="F6" s="21">
        <v>0.25</v>
      </c>
      <c r="G6" s="44">
        <f>=E6*F6</f>
        <v>1.6</v>
      </c>
      <c r="H6" s="133" t="s">
        <v>14</v>
      </c>
    </row>
    <row r="7" spans="1:8">
      <c r="A7" s="165" t="s"/>
      <c r="B7" s="167" t="s">
        <v>22</v>
      </c>
      <c r="C7" s="54" t="s">
        <v>162</v>
      </c>
      <c r="D7" s="18" t="s">
        <v>163</v>
      </c>
      <c r="E7" s="43">
        <v>1.6</v>
      </c>
      <c r="F7" s="21">
        <v>0.25</v>
      </c>
      <c r="G7" s="44">
        <f>=E7*F7</f>
        <v>0.4</v>
      </c>
      <c r="H7" s="133" t="s">
        <v>14</v>
      </c>
    </row>
    <row r="8" spans="1:8">
      <c r="A8" s="165" t="s"/>
      <c r="B8" s="166" t="s"/>
      <c r="C8" s="32" t="s"/>
      <c r="D8" s="18" t="s">
        <v>164</v>
      </c>
      <c r="E8" s="43">
        <v>6.4</v>
      </c>
      <c r="F8" s="21">
        <v>0.25</v>
      </c>
      <c r="G8" s="44">
        <f>=E8*F8</f>
        <v>1.6</v>
      </c>
      <c r="H8" s="133" t="s">
        <v>14</v>
      </c>
    </row>
    <row r="9" spans="1:8">
      <c r="A9" s="165" t="s"/>
      <c r="B9" s="59" t="s">
        <v>23</v>
      </c>
      <c r="C9" s="54" t="s">
        <v>165</v>
      </c>
      <c r="D9" s="18" t="s">
        <v>163</v>
      </c>
      <c r="E9" s="43">
        <v>0.8</v>
      </c>
      <c r="F9" s="21">
        <v>0.25</v>
      </c>
      <c r="G9" s="44">
        <f>=E9*F9</f>
        <v>0.2</v>
      </c>
      <c r="H9" s="133" t="s">
        <v>14</v>
      </c>
    </row>
    <row r="10" spans="1:8">
      <c r="A10" s="165" t="s"/>
      <c r="B10" s="166" t="s"/>
      <c r="C10" s="32" t="s"/>
      <c r="D10" s="18" t="s">
        <v>164</v>
      </c>
      <c r="E10" s="43">
        <v>3.2</v>
      </c>
      <c r="F10" s="21">
        <v>0.25</v>
      </c>
      <c r="G10" s="44">
        <f>=E10*F10</f>
        <v>0.8</v>
      </c>
      <c r="H10" s="133" t="s">
        <v>14</v>
      </c>
    </row>
    <row r="11" spans="1:8">
      <c r="A11" s="165" t="s"/>
      <c r="B11" s="59" t="s">
        <v>25</v>
      </c>
      <c r="C11" s="54" t="s">
        <v>165</v>
      </c>
      <c r="D11" s="18" t="s">
        <v>163</v>
      </c>
      <c r="E11" s="43">
        <v>0.8</v>
      </c>
      <c r="F11" s="21">
        <v>0.25</v>
      </c>
      <c r="G11" s="44">
        <f>=E11*F11</f>
        <v>0.2</v>
      </c>
      <c r="H11" s="133" t="s">
        <v>14</v>
      </c>
    </row>
    <row r="12" spans="1:8">
      <c r="A12" s="165" t="s"/>
      <c r="B12" s="165" t="s"/>
      <c r="C12" s="32" t="s"/>
      <c r="D12" s="54" t="s">
        <v>164</v>
      </c>
      <c r="E12" s="121">
        <v>3.2</v>
      </c>
      <c r="F12" s="56">
        <v>0.25</v>
      </c>
      <c r="G12" s="57">
        <f>=E12*F12</f>
        <v>0.8</v>
      </c>
      <c r="H12" s="122" t="s">
        <v>14</v>
      </c>
    </row>
    <row r="13" spans="1:8">
      <c r="A13" s="17" t="s">
        <v>87</v>
      </c>
      <c r="B13" s="17" t="s">
        <v>88</v>
      </c>
      <c r="C13" s="18" t="s">
        <v>166</v>
      </c>
      <c r="D13" s="18" t="s">
        <v>163</v>
      </c>
      <c r="E13" s="168">
        <v>0.2</v>
      </c>
      <c r="F13" s="21">
        <v>0.25</v>
      </c>
      <c r="G13" s="44">
        <f>=E13*F13</f>
        <v>0.05</v>
      </c>
      <c r="H13" s="133" t="s">
        <v>14</v>
      </c>
    </row>
  </sheetData>
  <mergeCells count="13">
    <mergeCell ref="A2:B2"/>
    <mergeCell ref="A3:A12"/>
    <mergeCell ref="B3:B4"/>
    <mergeCell ref="B5:B6"/>
    <mergeCell ref="B7:B8"/>
    <mergeCell ref="B9:B10"/>
    <mergeCell ref="B11:B12"/>
    <mergeCell ref="A1:H1"/>
    <mergeCell ref="C3:C4"/>
    <mergeCell ref="C5:C6"/>
    <mergeCell ref="C7:C8"/>
    <mergeCell ref="C9:C10"/>
    <mergeCell ref="C11:C12"/>
  </mergeCells>
  <dataValidations>
    <dataValidation type="list" errorStyle="stop" allowBlank="1" showDropDown="0" showInputMessage="1" showErrorMessage="1" prompt="" sqref="F3:F13">
      <formula1>"90%,80%,75%,70%,40%,25%,100%,"</formula1>
    </dataValidation>
  </dataValidations>
</worksheet>
</file>

<file path=xl/worksheets/sheet5.xml><?xml version="1.0" encoding="utf-8"?>
<worksheet xmlns="http://schemas.openxmlformats.org/spreadsheetml/2006/main">
  <sheetPr codeName="TPM保障包">
    <tabColor/>
  </sheetPr>
  <dimension ref="I4"/>
  <sheetViews>
    <sheetView showGridLines="1" workbookViewId="0"/>
  </sheetViews>
  <sheetFormatPr baseColWidth="13" defaultRowHeight="18" customHeight="1"/>
  <cols>
    <col min="1" max="1" width="27.5234" customWidth="1"/>
    <col min="2" max="2" width="27.5234" style="178" customWidth="1"/>
    <col min="3" max="3" width="31.3008" customWidth="1"/>
    <col min="4" max="4" width="21.7227" customWidth="1"/>
    <col min="5" max="5" width="22.5312" customWidth="1"/>
    <col min="6" max="6" width="18.7539" customWidth="1"/>
    <col min="7" max="7" width="21.043" customWidth="1"/>
    <col min="8" max="8" width="17.1328" customWidth="1"/>
    <col min="9" max="9" width="24.0117" customWidth="1"/>
  </cols>
  <sheetData>
    <row r="1" spans="1:8" ht="27.75" customHeight="1">
      <c r="A1" s="169" t="s">
        <v>167</v>
      </c>
      <c r="B1" s="5" t="s"/>
      <c r="C1" s="5" t="s"/>
      <c r="D1" s="5" t="s"/>
      <c r="E1" s="5" t="s"/>
      <c r="F1" s="5" t="s"/>
      <c r="G1" s="5" t="s"/>
      <c r="H1" s="5" t="s"/>
    </row>
    <row r="2" spans="1:9" ht="27.75" customHeight="1">
      <c r="A2" s="170" t="s">
        <v>2</v>
      </c>
      <c r="B2" s="170" t="s">
        <v>3</v>
      </c>
      <c r="C2" s="171" t="s">
        <v>168</v>
      </c>
      <c r="D2" s="171" t="s">
        <v>169</v>
      </c>
      <c r="E2" s="171" t="s">
        <v>5</v>
      </c>
      <c r="F2" s="171" t="s">
        <v>6</v>
      </c>
      <c r="G2" s="171" t="s">
        <v>7</v>
      </c>
      <c r="H2" s="171" t="s">
        <v>8</v>
      </c>
      <c r="I2" s="171" t="s">
        <v>170</v>
      </c>
    </row>
    <row r="3" spans="1:9">
      <c r="A3" s="172" t="s">
        <v>126</v>
      </c>
      <c r="B3" s="173" t="s">
        <v>171</v>
      </c>
      <c r="C3" s="174" t="s">
        <v>172</v>
      </c>
      <c r="D3" s="127" t="s">
        <v>173</v>
      </c>
      <c r="E3" s="127">
        <v>20000</v>
      </c>
      <c r="F3" s="175">
        <v>0.25</v>
      </c>
      <c r="G3" s="127">
        <f>=E3*F3</f>
        <v>5000</v>
      </c>
      <c r="H3" s="127" t="s">
        <v>174</v>
      </c>
      <c r="I3" s="127" t="s">
        <v>175</v>
      </c>
    </row>
    <row r="4" spans="1:9">
      <c r="A4" s="172" t="s">
        <v>139</v>
      </c>
      <c r="B4" s="173" t="s">
        <v>176</v>
      </c>
      <c r="C4" s="127" t="s">
        <v>172</v>
      </c>
      <c r="D4" s="127" t="s">
        <v>173</v>
      </c>
      <c r="E4" s="127">
        <v>10000</v>
      </c>
      <c r="F4" s="85">
        <v>0.25</v>
      </c>
      <c r="G4" s="127">
        <f>=E4*F4</f>
        <v>2500</v>
      </c>
      <c r="H4" s="127" t="s">
        <v>174</v>
      </c>
      <c r="I4" s="127" t="s">
        <v>175</v>
      </c>
    </row>
  </sheetData>
  <mergeCells count="1">
    <mergeCell ref="A1:I1"/>
  </mergeCells>
  <dataValidations>
    <dataValidation type="list" errorStyle="stop" allowBlank="1" showDropDown="0" showInputMessage="1" showErrorMessage="1" prompt="" sqref="F3:F4">
      <formula1>"25%,"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2026-05-09T11:04:48Z</dcterms:created>
  <dcterms:modified xsi:type="dcterms:W3CDTF">2026-05-09T11:04:48Z</dcterms:modified>
</cp:coreProperties>
</file>